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Excel_Projects\"/>
    </mc:Choice>
  </mc:AlternateContent>
  <xr:revisionPtr revIDLastSave="0" documentId="13_ncr:1_{BD965EA7-EEC5-4919-BA3E-C6D2A57308D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دیده بان بازار" sheetId="5" r:id="rId1"/>
    <sheet name="ME" sheetId="1" r:id="rId2"/>
    <sheet name="Dash" sheetId="4" r:id="rId3"/>
  </sheets>
  <definedNames>
    <definedName name="ExternalData_1" localSheetId="0" hidden="1">'دیده بان بازار'!$A$1:$K$983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E5" i="1"/>
  <c r="I5" i="1" s="1"/>
  <c r="G5" i="1"/>
  <c r="G4" i="1"/>
  <c r="E4" i="1"/>
  <c r="H5" i="1" l="1"/>
  <c r="J5" i="1" s="1"/>
  <c r="H4" i="1"/>
  <c r="J4" i="1" s="1"/>
  <c r="E3" i="1"/>
  <c r="I3" i="1" s="1"/>
  <c r="E2" i="1"/>
  <c r="I2" i="1" s="1"/>
  <c r="G3" i="1"/>
  <c r="G2" i="1"/>
  <c r="L2" i="1" l="1"/>
  <c r="L5" i="1"/>
  <c r="L3" i="1"/>
  <c r="L4" i="1"/>
  <c r="K5" i="1"/>
  <c r="K4" i="1"/>
  <c r="H3" i="1"/>
  <c r="H2" i="1"/>
  <c r="J2" i="1" s="1"/>
  <c r="J3" i="1" l="1"/>
  <c r="K3" i="1" s="1"/>
  <c r="I6" i="1"/>
  <c r="H6" i="1"/>
  <c r="S5" i="1" s="1"/>
  <c r="M5" i="1" l="1"/>
  <c r="S7" i="1"/>
  <c r="S6" i="1"/>
  <c r="S4" i="1"/>
  <c r="K2" i="1"/>
  <c r="J6" i="1"/>
  <c r="M2" i="1"/>
  <c r="M4" i="1"/>
  <c r="M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024DEE-2AAF-4B33-8B9D-B842C407E69E}" keepAlive="1" name="Query - دیده بان بازار" description="Connection to the 'دیده بان بازار' query in the workbook." type="5" refreshedVersion="8" background="1" saveData="1">
    <dbPr connection="Provider=Microsoft.Mashup.OleDb.1;Data Source=$Workbook$;Location=&quot;دیده بان بازار&quot;;Extended Properties=&quot;&quot;" command="SELECT * FROM [دیده بان بازار]"/>
  </connection>
</connections>
</file>

<file path=xl/sharedStrings.xml><?xml version="1.0" encoding="utf-8"?>
<sst xmlns="http://schemas.openxmlformats.org/spreadsheetml/2006/main" count="2014" uniqueCount="1909">
  <si>
    <t>ردیف</t>
  </si>
  <si>
    <t>نماد</t>
  </si>
  <si>
    <t>نام شرکت</t>
  </si>
  <si>
    <t>تعداد سهم</t>
  </si>
  <si>
    <t>ارزش ریالی</t>
  </si>
  <si>
    <t>درصد از کل</t>
  </si>
  <si>
    <t>نوع دارایی</t>
  </si>
  <si>
    <t>کارگزار ناظر</t>
  </si>
  <si>
    <t>عادی</t>
  </si>
  <si>
    <t>ومعادن</t>
  </si>
  <si>
    <t>رمپنا</t>
  </si>
  <si>
    <t/>
  </si>
  <si>
    <t>شبندر</t>
  </si>
  <si>
    <t>شستا</t>
  </si>
  <si>
    <t>پالایش نفت بندر</t>
  </si>
  <si>
    <t>صندوق س سهامي كاريزما- اهرمي</t>
  </si>
  <si>
    <t>صندوق س. كارا -د</t>
  </si>
  <si>
    <t>كارا</t>
  </si>
  <si>
    <t>صنعتي مينو</t>
  </si>
  <si>
    <t>غصينو</t>
  </si>
  <si>
    <t>صندوق س. ثروت آفرين پارسيان-س</t>
  </si>
  <si>
    <t>ثروتم</t>
  </si>
  <si>
    <t>صندوق س.اعتماد داريك-د</t>
  </si>
  <si>
    <t>داريك</t>
  </si>
  <si>
    <t>سيمان آبيك</t>
  </si>
  <si>
    <t>سآبيك</t>
  </si>
  <si>
    <t>صندوق س. پارند پايدار سپهر</t>
  </si>
  <si>
    <t>پارند</t>
  </si>
  <si>
    <t>مبين وان كيش</t>
  </si>
  <si>
    <t>اوان</t>
  </si>
  <si>
    <t>اسنادخزانه-م3بودجه00-030418</t>
  </si>
  <si>
    <t>اخزا003</t>
  </si>
  <si>
    <t>اسناد خزانه-م10بودجه00-031115</t>
  </si>
  <si>
    <t>اخزا010</t>
  </si>
  <si>
    <t>امتيازتسهيلات مسكن آبان1400</t>
  </si>
  <si>
    <t>تسه0008</t>
  </si>
  <si>
    <t>داروسازي دانا</t>
  </si>
  <si>
    <t>ددانا</t>
  </si>
  <si>
    <t>اسناد خزانه-م9بودجه00-031101</t>
  </si>
  <si>
    <t>كاريس</t>
  </si>
  <si>
    <t>صندوق سرمايه‌گذاري صنوين-مختلط</t>
  </si>
  <si>
    <t>صنوين</t>
  </si>
  <si>
    <t>صندوق پالايشي يكم-سهام</t>
  </si>
  <si>
    <t>پالايش</t>
  </si>
  <si>
    <t>سيمان‌ خزر</t>
  </si>
  <si>
    <t>سخزر</t>
  </si>
  <si>
    <t>صندوق س.اعتماد آفرين پارسيان-د</t>
  </si>
  <si>
    <t>اعتماد</t>
  </si>
  <si>
    <t>صندوق س. ثروت افزون ثمين-س</t>
  </si>
  <si>
    <t>ثمين</t>
  </si>
  <si>
    <t>توليد نيروي برق دماوند</t>
  </si>
  <si>
    <t>دماوند</t>
  </si>
  <si>
    <t>صندوق شاخص30 شركت فيروزه- سهام</t>
  </si>
  <si>
    <t>فيروزه</t>
  </si>
  <si>
    <t>اسنادخزانه-م11بودجه99-020906</t>
  </si>
  <si>
    <t>اخزا911</t>
  </si>
  <si>
    <t>ص.س.مديريت ثروت ص.بازنشستگي-س</t>
  </si>
  <si>
    <t>مدير</t>
  </si>
  <si>
    <t>صندوق س آواي فرداي زاگرس-ثابت</t>
  </si>
  <si>
    <t>صندوق س تجارت شاخصي كاردان</t>
  </si>
  <si>
    <t>كاردان</t>
  </si>
  <si>
    <t>صندوق س سروسودمند مدبران-سهام</t>
  </si>
  <si>
    <t>سرو</t>
  </si>
  <si>
    <t>عطرين نخ قم</t>
  </si>
  <si>
    <t>نطرين</t>
  </si>
  <si>
    <t>برق و انرژي پيوندگستر پارس</t>
  </si>
  <si>
    <t>بپيوند</t>
  </si>
  <si>
    <t>صندوق س.اوج دماوند-س</t>
  </si>
  <si>
    <t>اوج</t>
  </si>
  <si>
    <t>صندوق واسطه گري مالي يكم-سهام</t>
  </si>
  <si>
    <t>دارا يكم</t>
  </si>
  <si>
    <t>امتيازتسهيلات مسكن شهريور1400</t>
  </si>
  <si>
    <t>تسه0006</t>
  </si>
  <si>
    <t>صندوق س. دارا الگوريتم-د</t>
  </si>
  <si>
    <t>دارا</t>
  </si>
  <si>
    <t>ليزينگ كارآفرين</t>
  </si>
  <si>
    <t>ولكار</t>
  </si>
  <si>
    <t>بيمه رازي</t>
  </si>
  <si>
    <t>ورازي</t>
  </si>
  <si>
    <t>امتيازتسهيلات مسكن خرداد1400</t>
  </si>
  <si>
    <t>تسه0003</t>
  </si>
  <si>
    <t>صندوق س.سپهرخبرگان نفت-د</t>
  </si>
  <si>
    <t>سخند</t>
  </si>
  <si>
    <t>شركت آهن و فولاد ارفع</t>
  </si>
  <si>
    <t>ارفع</t>
  </si>
  <si>
    <t>توسعه‌معادن‌وفلزات‌</t>
  </si>
  <si>
    <t>صندوق س. ويستا -س</t>
  </si>
  <si>
    <t>ويستا</t>
  </si>
  <si>
    <t>صندوق س. ثروت داريوش -س</t>
  </si>
  <si>
    <t>داريوش</t>
  </si>
  <si>
    <t>سيمان ممتازان كرمان</t>
  </si>
  <si>
    <t>سمتاز</t>
  </si>
  <si>
    <t>صندوق انديشه ورزان صباتامين -د</t>
  </si>
  <si>
    <t>اوصتا</t>
  </si>
  <si>
    <t>صندوق س. گنجينه يكم آويد-د</t>
  </si>
  <si>
    <t>گنجين</t>
  </si>
  <si>
    <t>پلاسكوكار</t>
  </si>
  <si>
    <t>پلاسك</t>
  </si>
  <si>
    <t>اسنادخزانه-م14بودجه99-021025</t>
  </si>
  <si>
    <t>كشتيراني آريا</t>
  </si>
  <si>
    <t>حاريا</t>
  </si>
  <si>
    <t>اسنادخزانه-م2بودجه00-031024</t>
  </si>
  <si>
    <t>اخزا002</t>
  </si>
  <si>
    <t>اخزا009</t>
  </si>
  <si>
    <t>پليمر آريا ساسول</t>
  </si>
  <si>
    <t>آريا</t>
  </si>
  <si>
    <t>اسنادخزانه-م10بودجه99-020807</t>
  </si>
  <si>
    <t>صندوق س افرا نماد پايدار-ثابت</t>
  </si>
  <si>
    <t>صندوق س با درآمد ثابت تصميم</t>
  </si>
  <si>
    <t>تصميم</t>
  </si>
  <si>
    <t>صندوق س. با درآمد ثابت كيان</t>
  </si>
  <si>
    <t>كيان</t>
  </si>
  <si>
    <t>توليد ژلاتين كپسول ايران</t>
  </si>
  <si>
    <t>دكپسول</t>
  </si>
  <si>
    <t>گروه مديريت سرمايه گذاري اميد</t>
  </si>
  <si>
    <t>واميد</t>
  </si>
  <si>
    <t>سيمان‌غرب‌</t>
  </si>
  <si>
    <t>سغرب</t>
  </si>
  <si>
    <t>اسنادخزانه-م7بودجه00-030912</t>
  </si>
  <si>
    <t>اخزا007</t>
  </si>
  <si>
    <t>صندوق س. گروه زعفران سحرخيز</t>
  </si>
  <si>
    <t>سحرخيز</t>
  </si>
  <si>
    <t>كرمان</t>
  </si>
  <si>
    <t>صندوق س اعتماد هامرز-ثابت</t>
  </si>
  <si>
    <t>هامرز</t>
  </si>
  <si>
    <t>بوعلي</t>
  </si>
  <si>
    <t>ماليبل سايپا</t>
  </si>
  <si>
    <t>خليبل</t>
  </si>
  <si>
    <t>سايراشخاص بورس انرژي</t>
  </si>
  <si>
    <t>انرژي3</t>
  </si>
  <si>
    <t>اسنادخزانه-م7بودجه99-020704</t>
  </si>
  <si>
    <t>اخزا907</t>
  </si>
  <si>
    <t>صندوق س نوع دوم افق آتي-ثابت</t>
  </si>
  <si>
    <t>ص.س.صندوق در صندوق صنم</t>
  </si>
  <si>
    <t>صندوق س. گنجينه داريوش-د</t>
  </si>
  <si>
    <t>گنجينه</t>
  </si>
  <si>
    <t>صندوق س. شاخصي كيان-س</t>
  </si>
  <si>
    <t>هم وزن</t>
  </si>
  <si>
    <t>اسنادخزانه-م6بودجه00-030723</t>
  </si>
  <si>
    <t>اخزا006</t>
  </si>
  <si>
    <t>اسنادخزانه-م8بودجه00-030919</t>
  </si>
  <si>
    <t>امتيازتسهيلات مسكن سال1401</t>
  </si>
  <si>
    <t>تسه1401</t>
  </si>
  <si>
    <t>صندوق س هماي آگاه-ثابت</t>
  </si>
  <si>
    <t>صندوق درآمد ثابت امين يكم فردا</t>
  </si>
  <si>
    <t>امين يكم</t>
  </si>
  <si>
    <t>سپيد ماكيان</t>
  </si>
  <si>
    <t>سپيد</t>
  </si>
  <si>
    <t>صندوق س. گنجينه آينده روشن-د</t>
  </si>
  <si>
    <t>صايند</t>
  </si>
  <si>
    <t>ليزينگ رايان‌ سايپا</t>
  </si>
  <si>
    <t>ولساپا</t>
  </si>
  <si>
    <t>نفت ايرانول</t>
  </si>
  <si>
    <t>شرانل</t>
  </si>
  <si>
    <t>گسترش سرمايه گذاري ايرانيان</t>
  </si>
  <si>
    <t>وگستر</t>
  </si>
  <si>
    <t>صندوق س ارزش آفرين بيدار-سهام</t>
  </si>
  <si>
    <t>ارزش</t>
  </si>
  <si>
    <t>صندوق س. ارزش پاداش-د</t>
  </si>
  <si>
    <t>پاداش</t>
  </si>
  <si>
    <t>امتيازتسهيلات مسكن آذر 1400</t>
  </si>
  <si>
    <t>تسه0009</t>
  </si>
  <si>
    <t>سايپاآذين‌</t>
  </si>
  <si>
    <t>خاذين</t>
  </si>
  <si>
    <t>دامداري تليسه نمونه</t>
  </si>
  <si>
    <t>تليسه</t>
  </si>
  <si>
    <t>صندوق س شاخصي بازارآشنا</t>
  </si>
  <si>
    <t>وبازار</t>
  </si>
  <si>
    <t>سيمان‌فارس‌</t>
  </si>
  <si>
    <t>سفار</t>
  </si>
  <si>
    <t>سخت آژند</t>
  </si>
  <si>
    <t>ثاژن</t>
  </si>
  <si>
    <t>خدمات‌انفورماتيك‌</t>
  </si>
  <si>
    <t>رانفور</t>
  </si>
  <si>
    <t>اخزا910</t>
  </si>
  <si>
    <t>صندوق س. پاداش سهامداري-ثابت</t>
  </si>
  <si>
    <t>سپاس</t>
  </si>
  <si>
    <t>لعابيران‌</t>
  </si>
  <si>
    <t>شلعاب</t>
  </si>
  <si>
    <t>صندوق س ثروت هامرز-سهام</t>
  </si>
  <si>
    <t>ثهام</t>
  </si>
  <si>
    <t>سرمايه گذاري توسعه صنايع سيمان</t>
  </si>
  <si>
    <t>سيدكو</t>
  </si>
  <si>
    <t>صندوق س بذر اميد آفرين-سهام</t>
  </si>
  <si>
    <t>بذر</t>
  </si>
  <si>
    <t>آفاق</t>
  </si>
  <si>
    <t>سرمايه گذاري شفادارو</t>
  </si>
  <si>
    <t>شفا</t>
  </si>
  <si>
    <t>صندوق س.آرمان سپهر آشنا-م</t>
  </si>
  <si>
    <t>آسام</t>
  </si>
  <si>
    <t>نفت پاسارگاد</t>
  </si>
  <si>
    <t>شپاس</t>
  </si>
  <si>
    <t>صندوق س. با درآمد ثابت كمند</t>
  </si>
  <si>
    <t>كمند</t>
  </si>
  <si>
    <t>توليدمواداوليه‌داروپخش‌</t>
  </si>
  <si>
    <t>دتماد</t>
  </si>
  <si>
    <t>صندوق سرمايه گذاري درسا - سهام</t>
  </si>
  <si>
    <t>اخزا0022</t>
  </si>
  <si>
    <t>صندوق س.هستي بخش آگاه-س</t>
  </si>
  <si>
    <t>آگاس</t>
  </si>
  <si>
    <t>چرخشگر</t>
  </si>
  <si>
    <t>خچرخش</t>
  </si>
  <si>
    <t>توسعه مولد نيروگاهي جهرم</t>
  </si>
  <si>
    <t>بجهرم</t>
  </si>
  <si>
    <t>داروسازي‌ جابرابن‌حيان‌</t>
  </si>
  <si>
    <t>دجابر</t>
  </si>
  <si>
    <t>صندوق س. ثبات ويستا -د</t>
  </si>
  <si>
    <t>سيمان‌ بهبهان‌</t>
  </si>
  <si>
    <t>سبهان</t>
  </si>
  <si>
    <t>صندوق س.سپهرسودمند سينا-د</t>
  </si>
  <si>
    <t>سيناد</t>
  </si>
  <si>
    <t>اخزا914</t>
  </si>
  <si>
    <t>ص سرمايه گذاري ارمغان ايرانيان</t>
  </si>
  <si>
    <t>ارمغان</t>
  </si>
  <si>
    <t>صندوق س. مرواريد بها بازار-س</t>
  </si>
  <si>
    <t>مرواريد</t>
  </si>
  <si>
    <t>صنايع‌شيميايي‌سينا</t>
  </si>
  <si>
    <t>شسينا</t>
  </si>
  <si>
    <t>سيمان‌ تهران‌</t>
  </si>
  <si>
    <t>ستران</t>
  </si>
  <si>
    <t>سنگ آهن گهرزمين</t>
  </si>
  <si>
    <t>كگهر</t>
  </si>
  <si>
    <t>صندوق س. آرمان آتي كوثر-د</t>
  </si>
  <si>
    <t>آكورد</t>
  </si>
  <si>
    <t>صندوق س.انارنماد ارزش-درسهام</t>
  </si>
  <si>
    <t>انار</t>
  </si>
  <si>
    <t>اخزا0062</t>
  </si>
  <si>
    <t>كاشي‌ سعدي‌</t>
  </si>
  <si>
    <t>كسعدي</t>
  </si>
  <si>
    <t>صندوق س.امين تدبيرگران فردا-س</t>
  </si>
  <si>
    <t>الماس</t>
  </si>
  <si>
    <t>سالمين‌</t>
  </si>
  <si>
    <t>غسالم</t>
  </si>
  <si>
    <t>صندوق س زيتون نماد پايا- مختلط</t>
  </si>
  <si>
    <t>زيتون</t>
  </si>
  <si>
    <t>سيمرغ</t>
  </si>
  <si>
    <t>زغال سنگ پروده طبس</t>
  </si>
  <si>
    <t>كزغال</t>
  </si>
  <si>
    <t>كشتيراني درياي خزر</t>
  </si>
  <si>
    <t>حخزر</t>
  </si>
  <si>
    <t>كربن‌ ايران‌</t>
  </si>
  <si>
    <t>شكربن</t>
  </si>
  <si>
    <t>سيمان‌ دورود</t>
  </si>
  <si>
    <t>سدور</t>
  </si>
  <si>
    <t>صكوك منفعت سينا دارو-3ماهه 19%</t>
  </si>
  <si>
    <t>صينا205</t>
  </si>
  <si>
    <t>ثبات</t>
  </si>
  <si>
    <t>سرمايه‌گذاري‌غدير(هلدينگ‌</t>
  </si>
  <si>
    <t>وغدير</t>
  </si>
  <si>
    <t>صندوق س.مشترك آسمان اميد -د</t>
  </si>
  <si>
    <t>آساميد</t>
  </si>
  <si>
    <t>سرمايه گذاري پويا</t>
  </si>
  <si>
    <t>وپويا</t>
  </si>
  <si>
    <t>صندوق س آواي تاراز زاگرس-سهام</t>
  </si>
  <si>
    <t>تاراز</t>
  </si>
  <si>
    <t>كارخانجات كابلسازي ‌ايران‌</t>
  </si>
  <si>
    <t>بايكا</t>
  </si>
  <si>
    <t>فراورده‌ هاي‌ نسوزايران‌</t>
  </si>
  <si>
    <t>كفرا</t>
  </si>
  <si>
    <t>اقتصادي و خودكفايي آزادگان</t>
  </si>
  <si>
    <t>خودكفا</t>
  </si>
  <si>
    <t>فرآوري زغال سنگ پروده طبس</t>
  </si>
  <si>
    <t>كپرور</t>
  </si>
  <si>
    <t>صندوق س.آرمان آتيه درخشان مس-س</t>
  </si>
  <si>
    <t>آتيمس</t>
  </si>
  <si>
    <t>نفت‌ بهران‌</t>
  </si>
  <si>
    <t>شبهرن</t>
  </si>
  <si>
    <t>سرمايه گذاري آوا نوين</t>
  </si>
  <si>
    <t>وآوا</t>
  </si>
  <si>
    <t>شهد ايران ‌</t>
  </si>
  <si>
    <t>غشهد</t>
  </si>
  <si>
    <t>نيروترانس‌</t>
  </si>
  <si>
    <t>بنيرو</t>
  </si>
  <si>
    <t>امتيازتسهيلات مسكن دي1400</t>
  </si>
  <si>
    <t>تسه0010</t>
  </si>
  <si>
    <t>توليد برق ماهتاب كهنوج</t>
  </si>
  <si>
    <t>سرمايه گذاري هامون صبا</t>
  </si>
  <si>
    <t>وهامون</t>
  </si>
  <si>
    <t>امتيازتسهيلات مسكن مهر1400</t>
  </si>
  <si>
    <t>تسه0007</t>
  </si>
  <si>
    <t>تامين سرمايه اميد</t>
  </si>
  <si>
    <t>اميد</t>
  </si>
  <si>
    <t>داروسازي توليد دارو</t>
  </si>
  <si>
    <t>دتوليد</t>
  </si>
  <si>
    <t>اسنادخزانه-م1بودجه00-030821</t>
  </si>
  <si>
    <t>اهرم</t>
  </si>
  <si>
    <t>امتيازتسهيلات مسكن سال1400</t>
  </si>
  <si>
    <t>تسه1400</t>
  </si>
  <si>
    <t>اسنادخزانه-م8بودجه99-020606</t>
  </si>
  <si>
    <t>اخزا908</t>
  </si>
  <si>
    <t>مهركام‌پارس‌</t>
  </si>
  <si>
    <t>خمهر</t>
  </si>
  <si>
    <t>صندوق س سپر سرمايه بيدار- ثابت</t>
  </si>
  <si>
    <t>سپر</t>
  </si>
  <si>
    <t>امتيازتسهيلات مسكن تير1400</t>
  </si>
  <si>
    <t>تسه0004</t>
  </si>
  <si>
    <t>صندوق س. طلاي سرخ نوويرا</t>
  </si>
  <si>
    <t>صنايع‌خاك‌چيني‌ايران‌</t>
  </si>
  <si>
    <t>كخاك</t>
  </si>
  <si>
    <t>صندوق س نگين سامان-ثابت</t>
  </si>
  <si>
    <t>صندوق س. كامياب آشنا-د</t>
  </si>
  <si>
    <t>كامياب</t>
  </si>
  <si>
    <t>سيمان‌اروميه‌</t>
  </si>
  <si>
    <t>ساروم</t>
  </si>
  <si>
    <t>صنايع ماديران</t>
  </si>
  <si>
    <t>ماديرا</t>
  </si>
  <si>
    <t>هماي</t>
  </si>
  <si>
    <t>صندوق س در سهام افق ملت</t>
  </si>
  <si>
    <t>افق ملت</t>
  </si>
  <si>
    <t>لنت‌ ترمزايران‌</t>
  </si>
  <si>
    <t>خلنت</t>
  </si>
  <si>
    <t>اسنادخزانه-م9بودجه99-020316</t>
  </si>
  <si>
    <t>اخزا909</t>
  </si>
  <si>
    <t>سيمان‌ ايلام‌</t>
  </si>
  <si>
    <t>سيلام</t>
  </si>
  <si>
    <t>اسنادخزانه-م5بودجه00-030626</t>
  </si>
  <si>
    <t>اخزا0052</t>
  </si>
  <si>
    <t>قندهكمتان‌</t>
  </si>
  <si>
    <t>قهكمت</t>
  </si>
  <si>
    <t>سيمان‌ سفيد ني‌ريز</t>
  </si>
  <si>
    <t>سنير</t>
  </si>
  <si>
    <t>صندوق س شاخصي آرام مفيد</t>
  </si>
  <si>
    <t>آرام</t>
  </si>
  <si>
    <t>صندوق س.سهام فراز داريك-س</t>
  </si>
  <si>
    <t>فراز</t>
  </si>
  <si>
    <t>اخزا008</t>
  </si>
  <si>
    <t>دارويي ره آورد تامين</t>
  </si>
  <si>
    <t>درهآور</t>
  </si>
  <si>
    <t>پتروشيمي زاگرس</t>
  </si>
  <si>
    <t>زاگرس</t>
  </si>
  <si>
    <t>سيمان‌ صوفيان‌</t>
  </si>
  <si>
    <t>سصوفي</t>
  </si>
  <si>
    <t>نهال</t>
  </si>
  <si>
    <t>غلتك سازان سپاهان</t>
  </si>
  <si>
    <t>فسازان</t>
  </si>
  <si>
    <t>اسنادخزانه-م4بودجه00-030522</t>
  </si>
  <si>
    <t>اخزا0042</t>
  </si>
  <si>
    <t>اسنادخزانه-م20بودجه98-020806</t>
  </si>
  <si>
    <t>سيمان‌شاهرود</t>
  </si>
  <si>
    <t>سرود</t>
  </si>
  <si>
    <t>س. پتروشيمي ساختمان  خليج فارس</t>
  </si>
  <si>
    <t>وپسا</t>
  </si>
  <si>
    <t>اطلس</t>
  </si>
  <si>
    <t>صندوق ارمغان فيروزه آسيا-ثابت</t>
  </si>
  <si>
    <t>فيروزا</t>
  </si>
  <si>
    <t>ص.س. زمين و ساختمان نگين شهرري</t>
  </si>
  <si>
    <t>نگين</t>
  </si>
  <si>
    <t>اخزا004</t>
  </si>
  <si>
    <t>امتيازتسهيلاتمسكن ارديبهشت1400</t>
  </si>
  <si>
    <t>تسه0002</t>
  </si>
  <si>
    <t>امتيازتسهيلات مسكن فروردين1400</t>
  </si>
  <si>
    <t>تسه0001</t>
  </si>
  <si>
    <t>پتروشيمي شازند</t>
  </si>
  <si>
    <t>شاراك</t>
  </si>
  <si>
    <t>صندوق س. گنبد ميناي دماوند-م</t>
  </si>
  <si>
    <t>گنبد</t>
  </si>
  <si>
    <t>بكهنوج</t>
  </si>
  <si>
    <t>توليدمحورخودرو</t>
  </si>
  <si>
    <t>خمحور</t>
  </si>
  <si>
    <t>توليد و صادرات ريشمك</t>
  </si>
  <si>
    <t>ريشمك</t>
  </si>
  <si>
    <t>پتروشيمي پارس</t>
  </si>
  <si>
    <t>پارس</t>
  </si>
  <si>
    <t>پتروشيمي تندگويان</t>
  </si>
  <si>
    <t>شگويا</t>
  </si>
  <si>
    <t>اخزا005</t>
  </si>
  <si>
    <t>شركت صنايع غذايي مينو شرق</t>
  </si>
  <si>
    <t>غمينو</t>
  </si>
  <si>
    <t>پخش هجرت</t>
  </si>
  <si>
    <t>هجرت</t>
  </si>
  <si>
    <t>سيمان‌ داراب‌</t>
  </si>
  <si>
    <t>ساراب</t>
  </si>
  <si>
    <t>سيمان فارس نو</t>
  </si>
  <si>
    <t>سفانو</t>
  </si>
  <si>
    <t>سيمان‌خاش‌</t>
  </si>
  <si>
    <t>سخاش</t>
  </si>
  <si>
    <t>داروسازي‌ اكسير</t>
  </si>
  <si>
    <t>دلر</t>
  </si>
  <si>
    <t>اخزا001</t>
  </si>
  <si>
    <t>مديريت صنعت شوينده ت.ص.بهشهر</t>
  </si>
  <si>
    <t>شوينده</t>
  </si>
  <si>
    <t>ليزينگ ايرانيان</t>
  </si>
  <si>
    <t>وايران</t>
  </si>
  <si>
    <t>اسنادخزانه-م21بودجه98-020906</t>
  </si>
  <si>
    <t>اخزا821</t>
  </si>
  <si>
    <t>صندوق س. سپيد دماوند-د</t>
  </si>
  <si>
    <t>سپيدما</t>
  </si>
  <si>
    <t>امتيازتسهيلات مسكن مرداد 1400</t>
  </si>
  <si>
    <t>تسه0005</t>
  </si>
  <si>
    <t>صندوق س ياقوت آگاه-ثابت</t>
  </si>
  <si>
    <t>ياقوت</t>
  </si>
  <si>
    <t>صندوق س. نشان هامرز-د</t>
  </si>
  <si>
    <t>نشان</t>
  </si>
  <si>
    <t>فرآوري معدني اپال كاني پارس</t>
  </si>
  <si>
    <t>اپال</t>
  </si>
  <si>
    <t>فرآوري‌موادمعدني‌ايران‌</t>
  </si>
  <si>
    <t>فرآور</t>
  </si>
  <si>
    <t>بیشترین</t>
  </si>
  <si>
    <t>کمترین</t>
  </si>
  <si>
    <t>قیمت پایانی - درصد</t>
  </si>
  <si>
    <t>قیمت پایانی - مقدار</t>
  </si>
  <si>
    <t>اولین</t>
  </si>
  <si>
    <t>دیروز</t>
  </si>
  <si>
    <t>حجم</t>
  </si>
  <si>
    <t>تعداد</t>
  </si>
  <si>
    <t>نام</t>
  </si>
  <si>
    <t>درازك</t>
  </si>
  <si>
    <t>دارويي‌ رازك‌</t>
  </si>
  <si>
    <t>وتعاون</t>
  </si>
  <si>
    <t>بيمه تعاون</t>
  </si>
  <si>
    <t>زكشت</t>
  </si>
  <si>
    <t>كشاورزي مكانيزه اصفهان كشت</t>
  </si>
  <si>
    <t>قزوين</t>
  </si>
  <si>
    <t>كارخانجات‌ قند قزوين‌</t>
  </si>
  <si>
    <t>حآفرين</t>
  </si>
  <si>
    <t>ريل پرداز نو آفرين</t>
  </si>
  <si>
    <t>كساوه</t>
  </si>
  <si>
    <t>صنايع‌ كاشي‌ و سراميك‌ سينا</t>
  </si>
  <si>
    <t>قصفها</t>
  </si>
  <si>
    <t>قنداصفهان‌</t>
  </si>
  <si>
    <t>بساما</t>
  </si>
  <si>
    <t>بيمه سامان</t>
  </si>
  <si>
    <t>كبافق</t>
  </si>
  <si>
    <t>معادن‌ بافق‌</t>
  </si>
  <si>
    <t>شفارس</t>
  </si>
  <si>
    <t>صنايع‌ شيميايي‌ فارس‌</t>
  </si>
  <si>
    <t>لسرما</t>
  </si>
  <si>
    <t>سرما آفرين‌</t>
  </si>
  <si>
    <t>قیمت تمام شده</t>
  </si>
  <si>
    <t>عيار</t>
  </si>
  <si>
    <t>كالا</t>
  </si>
  <si>
    <t>بورس كالاي ايران</t>
  </si>
  <si>
    <t>وخاور</t>
  </si>
  <si>
    <t>بانك خاورميانه</t>
  </si>
  <si>
    <t>ولراز</t>
  </si>
  <si>
    <t>ليزينگ رازي</t>
  </si>
  <si>
    <t>شبريز</t>
  </si>
  <si>
    <t>پالايش نفت تبريز</t>
  </si>
  <si>
    <t>لخانه</t>
  </si>
  <si>
    <t>لوازم‌ خانگي‌ پارس‌</t>
  </si>
  <si>
    <t>شكبير</t>
  </si>
  <si>
    <t>پتروشيمي اميركبير</t>
  </si>
  <si>
    <t>خفناور</t>
  </si>
  <si>
    <t>مهندسي صنعتي روان فن آور</t>
  </si>
  <si>
    <t>ساذري</t>
  </si>
  <si>
    <t>آذريت‌</t>
  </si>
  <si>
    <t>فوكا</t>
  </si>
  <si>
    <t>فولاد كاويان</t>
  </si>
  <si>
    <t>اپرداز</t>
  </si>
  <si>
    <t>آتيه داده پرداز</t>
  </si>
  <si>
    <t>وامين</t>
  </si>
  <si>
    <t>س. امين توان آفرين ساز</t>
  </si>
  <si>
    <t>وپارس</t>
  </si>
  <si>
    <t>بانك‌پارسيان‌</t>
  </si>
  <si>
    <t>شراز</t>
  </si>
  <si>
    <t>پالايش نفت شيراز</t>
  </si>
  <si>
    <t>فلوله</t>
  </si>
  <si>
    <t>لوله‌وماشين‌سازي‌ايران‌</t>
  </si>
  <si>
    <t>صندوق س.سپند كاريزما-س</t>
  </si>
  <si>
    <t>شساخت</t>
  </si>
  <si>
    <t>مهندسي و ساختمان صنايع نفت</t>
  </si>
  <si>
    <t>كترام</t>
  </si>
  <si>
    <t>توليدي‌ كاشي‌ تكسرام‌</t>
  </si>
  <si>
    <t>والبر</t>
  </si>
  <si>
    <t>سرمايه‌ گذاري‌ البرز(هلدينگ‌</t>
  </si>
  <si>
    <t>كاسپين</t>
  </si>
  <si>
    <t>داروسازي كاسپين تامين</t>
  </si>
  <si>
    <t>كروي</t>
  </si>
  <si>
    <t>توسعه‌ معادن‌ روي‌ ايران‌</t>
  </si>
  <si>
    <t>صندوق سرمايه گذاري عقيق-سهام</t>
  </si>
  <si>
    <t>عقيق</t>
  </si>
  <si>
    <t>غنوش</t>
  </si>
  <si>
    <t>نوش‌ مازندران‌</t>
  </si>
  <si>
    <t>بنو</t>
  </si>
  <si>
    <t>بيمه تجارت نو</t>
  </si>
  <si>
    <t>فنورد</t>
  </si>
  <si>
    <t>نوردوقطعات‌ فولادي‌</t>
  </si>
  <si>
    <t>وآرين</t>
  </si>
  <si>
    <t>شركت توسعه اقتصادي آرين</t>
  </si>
  <si>
    <t>شصدف</t>
  </si>
  <si>
    <t>صنعتي دوده فام</t>
  </si>
  <si>
    <t>لطيف</t>
  </si>
  <si>
    <t>محصولات كاغذي لطيف</t>
  </si>
  <si>
    <t>سپيدار</t>
  </si>
  <si>
    <t>سپيدار سيستم آسيا</t>
  </si>
  <si>
    <t>غويتا</t>
  </si>
  <si>
    <t>ويتانا</t>
  </si>
  <si>
    <t>چخزر</t>
  </si>
  <si>
    <t>صنايع چوب خزر كاسپين</t>
  </si>
  <si>
    <t>سمگا</t>
  </si>
  <si>
    <t>گروه سرمايه گذاري ميراث فرهنگي</t>
  </si>
  <si>
    <t>افرا</t>
  </si>
  <si>
    <t>افرانت</t>
  </si>
  <si>
    <t>پرسپوليس</t>
  </si>
  <si>
    <t>قیمت (ریال)</t>
  </si>
  <si>
    <t>تجلي</t>
  </si>
  <si>
    <t>تجلي توسعه معادن و فلزات</t>
  </si>
  <si>
    <t>كيمياتك</t>
  </si>
  <si>
    <t>آريان كيميا تك</t>
  </si>
  <si>
    <t>لپارس</t>
  </si>
  <si>
    <t>پارس‌ الكتريك‌</t>
  </si>
  <si>
    <t>ممسني</t>
  </si>
  <si>
    <t>پتروشيمي ممسني</t>
  </si>
  <si>
    <t>دهدشت</t>
  </si>
  <si>
    <t>صنايع پتروشيمي دهدشت</t>
  </si>
  <si>
    <t>درازي</t>
  </si>
  <si>
    <t>پخش رازي</t>
  </si>
  <si>
    <t>كازرو</t>
  </si>
  <si>
    <t>پتروشيمي كازرون</t>
  </si>
  <si>
    <t>جهرم</t>
  </si>
  <si>
    <t>پتروشيمي جهرم</t>
  </si>
  <si>
    <t>فسا</t>
  </si>
  <si>
    <t>پتروشيمي فسا</t>
  </si>
  <si>
    <t>لبنيات‌ پاك‌</t>
  </si>
  <si>
    <t>داراب</t>
  </si>
  <si>
    <t>پتروشيمي داراب</t>
  </si>
  <si>
    <t>واتي</t>
  </si>
  <si>
    <t>سرمايه‌ گذاري‌ آتيه‌ دماوند</t>
  </si>
  <si>
    <t>غپاك</t>
  </si>
  <si>
    <t>تكشا</t>
  </si>
  <si>
    <t>گسترش‌صنايع‌وخدمات‌كشاورزي‌</t>
  </si>
  <si>
    <t>شرنگي</t>
  </si>
  <si>
    <t>شيميايي رنگين</t>
  </si>
  <si>
    <t>پارسيان</t>
  </si>
  <si>
    <t>بيمه پارسيان</t>
  </si>
  <si>
    <t>جم پيلن</t>
  </si>
  <si>
    <t>پلي پروپيلن جم - جم پيلن</t>
  </si>
  <si>
    <t>لبخند</t>
  </si>
  <si>
    <t>صندوق س. لبخند فارابي-د</t>
  </si>
  <si>
    <t>بتك</t>
  </si>
  <si>
    <t>كارخانجات كابل سازي‌ تك‌</t>
  </si>
  <si>
    <t>شاوان</t>
  </si>
  <si>
    <t>پالايش نفت لاوان</t>
  </si>
  <si>
    <t>البرز</t>
  </si>
  <si>
    <t>بيمه البرز</t>
  </si>
  <si>
    <t>فسديد</t>
  </si>
  <si>
    <t>لوله‌وتجهيزات‌ سديد - ورشكسته</t>
  </si>
  <si>
    <t>فرابورس</t>
  </si>
  <si>
    <t>فرابورس ايران</t>
  </si>
  <si>
    <t>اگ020555</t>
  </si>
  <si>
    <t>گام بانك اقتصاد نوين0205</t>
  </si>
  <si>
    <t>وسبحان</t>
  </si>
  <si>
    <t>سرمايه گذاري سبحان</t>
  </si>
  <si>
    <t>اخزا101</t>
  </si>
  <si>
    <t>اسناد خزانه-م1بودجه01-040326</t>
  </si>
  <si>
    <t>بفجر</t>
  </si>
  <si>
    <t>فجر انرژي خليج فارس</t>
  </si>
  <si>
    <t>ضبساما305</t>
  </si>
  <si>
    <t>اختيارخ بساما-12000-14020310</t>
  </si>
  <si>
    <t>پالايش نفت بندرعباس</t>
  </si>
  <si>
    <t>برليان</t>
  </si>
  <si>
    <t>صندوق سرمايه گذاري برليان-سهام</t>
  </si>
  <si>
    <t>وخارزم</t>
  </si>
  <si>
    <t>سرمايه گذاري خوارزمي</t>
  </si>
  <si>
    <t>طسمگا702</t>
  </si>
  <si>
    <t>اختيارف سمگا-7500-14020709</t>
  </si>
  <si>
    <t>اخزا1012</t>
  </si>
  <si>
    <t>توريستي ورفاهي آبادگران ايران</t>
  </si>
  <si>
    <t>ضسمگا702</t>
  </si>
  <si>
    <t>اختيارخ سمگا-7500-14020709</t>
  </si>
  <si>
    <t>دتوزيع</t>
  </si>
  <si>
    <t>توزيع دارو پخش</t>
  </si>
  <si>
    <t>برن0204پ01</t>
  </si>
  <si>
    <t>برنج طارم0204تجارت مازندران(پ)</t>
  </si>
  <si>
    <t>غفارس</t>
  </si>
  <si>
    <t>شير پاستوريزه پگاه فارس</t>
  </si>
  <si>
    <t>افق</t>
  </si>
  <si>
    <t>فروشگاههاي زنجيره اي افق كوروش</t>
  </si>
  <si>
    <t>مرابحه عام دولت107-ش.خ030724</t>
  </si>
  <si>
    <t>مرابحه عام دولتي65-ش.خ0210</t>
  </si>
  <si>
    <t>تپمپي</t>
  </si>
  <si>
    <t>پمپ‌ سازي‌ ايران‌</t>
  </si>
  <si>
    <t>اراد107</t>
  </si>
  <si>
    <t>كفرآور</t>
  </si>
  <si>
    <t>فرآورده هاي سيمان شرق</t>
  </si>
  <si>
    <t>فسوژ</t>
  </si>
  <si>
    <t>سوژميران</t>
  </si>
  <si>
    <t>دابور</t>
  </si>
  <si>
    <t>داروسازي‌ ابوريحان‌</t>
  </si>
  <si>
    <t>ثشاهد</t>
  </si>
  <si>
    <t>سرمايه‌ گذاري‌ شاهد</t>
  </si>
  <si>
    <t>ضستا6007</t>
  </si>
  <si>
    <t>اختيارخ شستا-1165-1402/06/08</t>
  </si>
  <si>
    <t>سرمايه گذاري تامين اجتماعي</t>
  </si>
  <si>
    <t>ضستا6005</t>
  </si>
  <si>
    <t>اختيارخ شستا-965-1402/06/08</t>
  </si>
  <si>
    <t>ضستا6002</t>
  </si>
  <si>
    <t>اختيارخ شستا-665-1402/06/08</t>
  </si>
  <si>
    <t>برن0203پ02</t>
  </si>
  <si>
    <t>برنج فجر0203 تجارت مازندران(پ)</t>
  </si>
  <si>
    <t>پشاهن</t>
  </si>
  <si>
    <t>توليدي پلاستيك‌ شاهين</t>
  </si>
  <si>
    <t>ضستا6006</t>
  </si>
  <si>
    <t>اختيارخ شستا-1065-1402/06/08</t>
  </si>
  <si>
    <t>آباد</t>
  </si>
  <si>
    <t>ضستا6003</t>
  </si>
  <si>
    <t>اختيارخ شستا-765-1402/06/08</t>
  </si>
  <si>
    <t>غكورش</t>
  </si>
  <si>
    <t>صنعت غذايي كورش</t>
  </si>
  <si>
    <t>ضستا6000</t>
  </si>
  <si>
    <t>اختيارخ شستا-465-1402/06/08</t>
  </si>
  <si>
    <t>هيوا</t>
  </si>
  <si>
    <t>صندوق س. ثروت هيوا-س</t>
  </si>
  <si>
    <t>ضستا6004</t>
  </si>
  <si>
    <t>اختيارخ شستا-865-1402/06/08</t>
  </si>
  <si>
    <t>ضستا6001</t>
  </si>
  <si>
    <t>اختيارخ شستا-565-1402/06/08</t>
  </si>
  <si>
    <t>تپولا</t>
  </si>
  <si>
    <t>مهندسي مرآت پولاد</t>
  </si>
  <si>
    <t>ولشرق</t>
  </si>
  <si>
    <t>ليزينگ ايران و شرق</t>
  </si>
  <si>
    <t>آرمان</t>
  </si>
  <si>
    <t>بيمه آرمان</t>
  </si>
  <si>
    <t>غبشهر</t>
  </si>
  <si>
    <t>صنعتي‌ بهشهر</t>
  </si>
  <si>
    <t>س. توسعه و عمران استان كرمان</t>
  </si>
  <si>
    <t>تابا</t>
  </si>
  <si>
    <t>تابان نيرو سپاهان</t>
  </si>
  <si>
    <t>شتران</t>
  </si>
  <si>
    <t>پالايش نفت تهران</t>
  </si>
  <si>
    <t>مرابحه عام دولت112-ش.خ 040408</t>
  </si>
  <si>
    <t>بميلا</t>
  </si>
  <si>
    <t>زعف0210پ20</t>
  </si>
  <si>
    <t>زعفران0210نگين وحدت جام(پ)</t>
  </si>
  <si>
    <t>زعف0210پ24</t>
  </si>
  <si>
    <t>زعفران0210نگين پارسيلون(پ)</t>
  </si>
  <si>
    <t>زعف0210پ16</t>
  </si>
  <si>
    <t>زعفران0210نگين بيرجند(پ)</t>
  </si>
  <si>
    <t>ضستا6010</t>
  </si>
  <si>
    <t>اختيارخ شستا-1465-1402/06/08</t>
  </si>
  <si>
    <t>زعف0210پ09</t>
  </si>
  <si>
    <t xml:space="preserve">زعفران0210نگين نوين(پ)	</t>
  </si>
  <si>
    <t>زعف0210پ10</t>
  </si>
  <si>
    <t>زعفران0210نگين طلاي سرخ(پ)</t>
  </si>
  <si>
    <t>زعف0210پ19</t>
  </si>
  <si>
    <t>زعفران0210نگين تروند قاينات(پ)</t>
  </si>
  <si>
    <t>زعف0210پ05</t>
  </si>
  <si>
    <t>زعفران0210نگين زرين(پ)</t>
  </si>
  <si>
    <t>ضبساما306</t>
  </si>
  <si>
    <t>اختيارخ بساما-13000-14020310</t>
  </si>
  <si>
    <t>خصدرا</t>
  </si>
  <si>
    <t>صنعتي‌ دريايي‌ ايران‌</t>
  </si>
  <si>
    <t>ضستا6008</t>
  </si>
  <si>
    <t>اختيارخ شستا-1265-1402/06/08</t>
  </si>
  <si>
    <t>توان</t>
  </si>
  <si>
    <t>اسناد خزانه-م3بودجه01-040520</t>
  </si>
  <si>
    <t>ضستا6009</t>
  </si>
  <si>
    <t>اختيارخ شستا-1365-1402/06/08</t>
  </si>
  <si>
    <t>قپيرا</t>
  </si>
  <si>
    <t>فرآورده‌هاي‌غدايي‌وقندپيرانشهر</t>
  </si>
  <si>
    <t>شپترو</t>
  </si>
  <si>
    <t>پتروشيمي آبادان</t>
  </si>
  <si>
    <t>صندوق س.توسعه اطلس مفيد-س</t>
  </si>
  <si>
    <t>سشرق</t>
  </si>
  <si>
    <t>سيمان‌ شرق‌</t>
  </si>
  <si>
    <t>كلوند</t>
  </si>
  <si>
    <t>كاشي‌ الوند</t>
  </si>
  <si>
    <t>سپاها</t>
  </si>
  <si>
    <t>سيمان‌سپاهان‌</t>
  </si>
  <si>
    <t>ضهرم7009</t>
  </si>
  <si>
    <t>اختيارخ اهرم-14000-1402/07/23</t>
  </si>
  <si>
    <t>فايرا</t>
  </si>
  <si>
    <t>آلومينيوم‌ايران‌</t>
  </si>
  <si>
    <t>اگ020719</t>
  </si>
  <si>
    <t>گام بانك صادرات ايران0207</t>
  </si>
  <si>
    <t>دكوثر</t>
  </si>
  <si>
    <t>داروسازي‌ كوثر</t>
  </si>
  <si>
    <t>غشهداب</t>
  </si>
  <si>
    <t>كشت و صنعت شهداب ناب خراسان</t>
  </si>
  <si>
    <t>ضكاريس205</t>
  </si>
  <si>
    <t>اختيارخ كاريس-16000-14020205</t>
  </si>
  <si>
    <t>صبا51</t>
  </si>
  <si>
    <t>اجاره صبا تامين دماوند14050809</t>
  </si>
  <si>
    <t>كرازي</t>
  </si>
  <si>
    <t>كارخانجات‌توليدي‌شيشه‌رازي‌</t>
  </si>
  <si>
    <t>طهاي3008</t>
  </si>
  <si>
    <t>اختيارف هاي وب-3460-1402/03/03</t>
  </si>
  <si>
    <t xml:space="preserve">صندوق س نوع دوم رايكا- ثابت	</t>
  </si>
  <si>
    <t>ضمان</t>
  </si>
  <si>
    <t>صندوق تضمين ا.سرمايه كاريزما-م</t>
  </si>
  <si>
    <t>دپارس</t>
  </si>
  <si>
    <t>پارس‌ دارو</t>
  </si>
  <si>
    <t>ضكاريس207</t>
  </si>
  <si>
    <t>اختيارخ كاريس-18000-14020205</t>
  </si>
  <si>
    <t>شكام</t>
  </si>
  <si>
    <t>صنايع شيميايي كيمياگران امروز</t>
  </si>
  <si>
    <t>طهاي3006</t>
  </si>
  <si>
    <t>اختيارف هاي وب-2998-1402/03/03</t>
  </si>
  <si>
    <t>هاي وب</t>
  </si>
  <si>
    <t>داده گسترعصرنوين-هاي وب</t>
  </si>
  <si>
    <t>پتروشيمي بوعلي سينا</t>
  </si>
  <si>
    <t>ضهرم7000</t>
  </si>
  <si>
    <t>اختيارخ اهرم-6500-1402/07/23</t>
  </si>
  <si>
    <t>ضهاي3001</t>
  </si>
  <si>
    <t>اختيارخ هاي وب-2030-1402/03/03</t>
  </si>
  <si>
    <t>جوين</t>
  </si>
  <si>
    <t>كشت و صنعت جوين</t>
  </si>
  <si>
    <t>ضهاي3005</t>
  </si>
  <si>
    <t>اختيارخ هاي وب-2768-1402/03/03</t>
  </si>
  <si>
    <t>رايكا</t>
  </si>
  <si>
    <t>ضهاي3000</t>
  </si>
  <si>
    <t>اختيارخ هاي وب-1845-1402/03/03</t>
  </si>
  <si>
    <t>سكرد</t>
  </si>
  <si>
    <t>سيمان كردستان</t>
  </si>
  <si>
    <t>زعف0210پ25</t>
  </si>
  <si>
    <t>زعفران0210نگين زرپران (پ)</t>
  </si>
  <si>
    <t>كهرام</t>
  </si>
  <si>
    <t>توليدي گرانيت بهسرام</t>
  </si>
  <si>
    <t>شسپا</t>
  </si>
  <si>
    <t>نفت سپاهان</t>
  </si>
  <si>
    <t>كاج</t>
  </si>
  <si>
    <t>صندوق س. نوع دوم نو ويرا -د</t>
  </si>
  <si>
    <t>ثنا</t>
  </si>
  <si>
    <t>صندوق س.زرين نهال ثنا-س</t>
  </si>
  <si>
    <t>مهان03</t>
  </si>
  <si>
    <t>اجاره مهرآيندگان لوتوس0507</t>
  </si>
  <si>
    <t>ضسرو1014</t>
  </si>
  <si>
    <t>اختيارخ سرو-62000-1402/10/06</t>
  </si>
  <si>
    <t>ضسرو1016</t>
  </si>
  <si>
    <t>اختيارخ سرو-74000-1402/10/06</t>
  </si>
  <si>
    <t>فلات</t>
  </si>
  <si>
    <t>گروه صنايع معادن فلات ايرانيان</t>
  </si>
  <si>
    <t>زعف0210پ21</t>
  </si>
  <si>
    <t>زعفران0210نگين ملل(پ)</t>
  </si>
  <si>
    <t>ضسرو1018</t>
  </si>
  <si>
    <t>اختيارخ سرو-90000-1402/10/06</t>
  </si>
  <si>
    <t>چكارن</t>
  </si>
  <si>
    <t>كارتن‌ ايران‌</t>
  </si>
  <si>
    <t>كرماشا</t>
  </si>
  <si>
    <t>صنايع پتروشيمي كرمانشاه</t>
  </si>
  <si>
    <t>تدبير04</t>
  </si>
  <si>
    <t>اجاره اقتصادي تدبير14040606</t>
  </si>
  <si>
    <t>تابان07</t>
  </si>
  <si>
    <t>اجاره تابان لوتوس14041015</t>
  </si>
  <si>
    <t>طهاي3010</t>
  </si>
  <si>
    <t>اختيارف هاي وب-4152-1402/03/03</t>
  </si>
  <si>
    <t>ضهرم7001</t>
  </si>
  <si>
    <t>اختيارخ اهرم-7000-1402/07/23</t>
  </si>
  <si>
    <t>بازده</t>
  </si>
  <si>
    <t>صندوق س. بازده ثابت-د</t>
  </si>
  <si>
    <t>ولبهمن</t>
  </si>
  <si>
    <t>شركت بهمن ليزينگ</t>
  </si>
  <si>
    <t>دامين</t>
  </si>
  <si>
    <t>داروسازي‌ امين‌</t>
  </si>
  <si>
    <t>شپلي</t>
  </si>
  <si>
    <t>پلي اكريل ايران</t>
  </si>
  <si>
    <t>تكمبا</t>
  </si>
  <si>
    <t>كمباين‌ سازي‌ ايران‌</t>
  </si>
  <si>
    <t>ونيكي</t>
  </si>
  <si>
    <t>سرمايه‌گذاري‌ ملي‌ايران‌</t>
  </si>
  <si>
    <t>فجام</t>
  </si>
  <si>
    <t>جام‌دارو</t>
  </si>
  <si>
    <t>بگيلان</t>
  </si>
  <si>
    <t>توسعه مسير برق گيلان</t>
  </si>
  <si>
    <t>دانا</t>
  </si>
  <si>
    <t>بيمه دانا</t>
  </si>
  <si>
    <t>تملت</t>
  </si>
  <si>
    <t>تامين سرمايه بانك ملت</t>
  </si>
  <si>
    <t>ثاصفا</t>
  </si>
  <si>
    <t>شركت‌ ساختمان‌ اصفهان‌</t>
  </si>
  <si>
    <t>ضكاريس206</t>
  </si>
  <si>
    <t>اختيارخ كاريس-17000-14020205</t>
  </si>
  <si>
    <t>ضهرم7002</t>
  </si>
  <si>
    <t>اختيارخ اهرم-7500-1402/07/23</t>
  </si>
  <si>
    <t>بپاس</t>
  </si>
  <si>
    <t>بيمه پاسارگاد</t>
  </si>
  <si>
    <t>دسبحان</t>
  </si>
  <si>
    <t>سبحان دارو</t>
  </si>
  <si>
    <t>حسينا</t>
  </si>
  <si>
    <t>توسعه خدمات دريايي وبندري سينا</t>
  </si>
  <si>
    <t>غمهرا</t>
  </si>
  <si>
    <t>توليدي‌مهرام‌</t>
  </si>
  <si>
    <t>كود شيميايي اوره لردگان</t>
  </si>
  <si>
    <t>آ س پ</t>
  </si>
  <si>
    <t>آ.س.پ</t>
  </si>
  <si>
    <t>استقلال</t>
  </si>
  <si>
    <t>تاپيكو</t>
  </si>
  <si>
    <t>س. نفت و گاز و پتروشيمي تأمين</t>
  </si>
  <si>
    <t>شغدير</t>
  </si>
  <si>
    <t>پتروشيمي غدير</t>
  </si>
  <si>
    <t>قنيشا</t>
  </si>
  <si>
    <t>قند  نيشابور</t>
  </si>
  <si>
    <t>دريا</t>
  </si>
  <si>
    <t>صندوق س درياي آبي فيروزه-سهام</t>
  </si>
  <si>
    <t>رتاپ</t>
  </si>
  <si>
    <t>تجارت الكترونيك  پارسيان</t>
  </si>
  <si>
    <t>كحافظ</t>
  </si>
  <si>
    <t>كاشي‌ وسراميك‌ حافظ‌</t>
  </si>
  <si>
    <t>ثغرب</t>
  </si>
  <si>
    <t>شركت سرمايه گذاري مسكن شمالغرب</t>
  </si>
  <si>
    <t>غشوكو</t>
  </si>
  <si>
    <t>شوكو پارس</t>
  </si>
  <si>
    <t>گروه مپنا (سهامي عام)</t>
  </si>
  <si>
    <t>وزن ریالی</t>
  </si>
  <si>
    <t>ضستا0103</t>
  </si>
  <si>
    <t>اختيارخ شستا-900-1402/01/09</t>
  </si>
  <si>
    <t>ضستا0104</t>
  </si>
  <si>
    <t>اختيارخ شستا-1000-1402/01/09</t>
  </si>
  <si>
    <t>حپارسا</t>
  </si>
  <si>
    <t>توسعه حمل و نقل ريلي پارسيان</t>
  </si>
  <si>
    <t>ضستا0102</t>
  </si>
  <si>
    <t>اختيارخ شستا-800-1402/01/09</t>
  </si>
  <si>
    <t>ضستا0101</t>
  </si>
  <si>
    <t>اختيارخ شستا-700-1402/01/09</t>
  </si>
  <si>
    <t>ضستا0105</t>
  </si>
  <si>
    <t>اختيارخ شستا-1100-1402/01/09</t>
  </si>
  <si>
    <t>ضستا0106</t>
  </si>
  <si>
    <t>اختيارخ شستا-1200-1402/01/09</t>
  </si>
  <si>
    <t>غديس</t>
  </si>
  <si>
    <t>پاكديس</t>
  </si>
  <si>
    <t>ضسرو1017</t>
  </si>
  <si>
    <t>اختيارخ سرو-80000-1402/10/06</t>
  </si>
  <si>
    <t>ضسرو1019</t>
  </si>
  <si>
    <t>اختيارخ سرو-100000-1402/10/06</t>
  </si>
  <si>
    <t>طسمگا703</t>
  </si>
  <si>
    <t>اختيارف سمگا-8500-14020709</t>
  </si>
  <si>
    <t>Profit</t>
  </si>
  <si>
    <t>وبهمن</t>
  </si>
  <si>
    <t>سرمايه‌گذاري‌بهمن‌</t>
  </si>
  <si>
    <t>خنصير</t>
  </si>
  <si>
    <t>مهندسي‌نصيرماشين‌</t>
  </si>
  <si>
    <t>ما</t>
  </si>
  <si>
    <t>بيمه  ما</t>
  </si>
  <si>
    <t>مداران</t>
  </si>
  <si>
    <t>داده‌پردازي‌ايران‌</t>
  </si>
  <si>
    <t>كاوه</t>
  </si>
  <si>
    <t>فولاد كاوه جنوب كيش</t>
  </si>
  <si>
    <t>% profit</t>
  </si>
  <si>
    <t>پارتا</t>
  </si>
  <si>
    <t>مجتمع صنعتي آرتاويل تاير</t>
  </si>
  <si>
    <t>ثباغ</t>
  </si>
  <si>
    <t>شهر سازي و خانه سازي باغميشه</t>
  </si>
  <si>
    <t>مرابحه عام دولت104-ش.خ020303</t>
  </si>
  <si>
    <t>مفاخر</t>
  </si>
  <si>
    <t>توسعه فناوري اطلاعات خوارزمي</t>
  </si>
  <si>
    <t>شفارا</t>
  </si>
  <si>
    <t>پتروشيمي فارابي</t>
  </si>
  <si>
    <t>درصد ریالی</t>
  </si>
  <si>
    <t>طهرم7000</t>
  </si>
  <si>
    <t>اختيارف اهرم-6500-1402/07/23</t>
  </si>
  <si>
    <t>شليا</t>
  </si>
  <si>
    <t>شركت مواد ويژه ليا</t>
  </si>
  <si>
    <t>كي بي سي</t>
  </si>
  <si>
    <t>شركت كي بي سي</t>
  </si>
  <si>
    <t>ثپرديس</t>
  </si>
  <si>
    <t>سرمايه گذاري مسكن پرديس</t>
  </si>
  <si>
    <t>سباقر</t>
  </si>
  <si>
    <t>سيمان باقران</t>
  </si>
  <si>
    <t>دارایی قابل معامله</t>
  </si>
  <si>
    <t>سغدير</t>
  </si>
  <si>
    <t>توسعه سرمايه و صنعت غدير</t>
  </si>
  <si>
    <t>غنيلي</t>
  </si>
  <si>
    <t>مجتمع توليدي نيلي صنعت كرمان</t>
  </si>
  <si>
    <t>شگامرن</t>
  </si>
  <si>
    <t>مجتمع پترو صنعت گامرون</t>
  </si>
  <si>
    <t>خموتور</t>
  </si>
  <si>
    <t>موتورسازان‌تراكتورسازي‌ايران‌</t>
  </si>
  <si>
    <t>ختراك</t>
  </si>
  <si>
    <t>ريخته‌گري‌ تراكتورسازي‌ ايران‌</t>
  </si>
  <si>
    <t>شپاكسا</t>
  </si>
  <si>
    <t>پاكسان‌</t>
  </si>
  <si>
    <t>وطوبي</t>
  </si>
  <si>
    <t>سرمايه گذاري اقتصاد شهر طوبي</t>
  </si>
  <si>
    <t>صندوق توسعه اطلس مفید</t>
  </si>
  <si>
    <t>فجوش</t>
  </si>
  <si>
    <t>جوش‌ و اكسيژن‌ ايران‌</t>
  </si>
  <si>
    <t>ختوقا</t>
  </si>
  <si>
    <t>قطعات‌ اتومبيل‌ ايران‌</t>
  </si>
  <si>
    <t>قشكر</t>
  </si>
  <si>
    <t>شكرشاهرود</t>
  </si>
  <si>
    <t>كپارس</t>
  </si>
  <si>
    <t>كاشي‌ پارس‌</t>
  </si>
  <si>
    <t>ضترا3025</t>
  </si>
  <si>
    <t>اختيارخ شتران-4500-1402/03/28</t>
  </si>
  <si>
    <t>ضترا3024</t>
  </si>
  <si>
    <t>اختيارخ شتران-4000-1402/03/28</t>
  </si>
  <si>
    <t>ضترا3026</t>
  </si>
  <si>
    <t>اختيارخ شتران-5000-1402/03/28</t>
  </si>
  <si>
    <t>فاما</t>
  </si>
  <si>
    <t>صنعتي‌ آما</t>
  </si>
  <si>
    <t>كساپا</t>
  </si>
  <si>
    <t>سايپاشيشه‌</t>
  </si>
  <si>
    <t>وملت</t>
  </si>
  <si>
    <t>سرمايه گذاري ملت</t>
  </si>
  <si>
    <t>كدما</t>
  </si>
  <si>
    <t>معدني‌ دماوند</t>
  </si>
  <si>
    <t>اخابر</t>
  </si>
  <si>
    <t>مخابرات ايران</t>
  </si>
  <si>
    <t>كيا</t>
  </si>
  <si>
    <t>كيا الكترود شرق</t>
  </si>
  <si>
    <t>فتوسا</t>
  </si>
  <si>
    <t>توليد و توسعه سرب روي ايرانيان</t>
  </si>
  <si>
    <t>غچين</t>
  </si>
  <si>
    <t>كشت‌ و صنعت‌ چين‌ چين</t>
  </si>
  <si>
    <t>سفارس</t>
  </si>
  <si>
    <t>سيمان فارس و خوزستان</t>
  </si>
  <si>
    <t>ضترا3029</t>
  </si>
  <si>
    <t>اختيارخ شتران-6500-1402/03/28</t>
  </si>
  <si>
    <t>تايدواترخاورميانه</t>
  </si>
  <si>
    <t>وحافظ</t>
  </si>
  <si>
    <t>بيمه حافظ</t>
  </si>
  <si>
    <t>قشهد</t>
  </si>
  <si>
    <t>شهد</t>
  </si>
  <si>
    <t>چنوپا</t>
  </si>
  <si>
    <t>نيوپان‌ 22 بهمن‌</t>
  </si>
  <si>
    <t>فروژ</t>
  </si>
  <si>
    <t>صنايع فروآلياژ ايران</t>
  </si>
  <si>
    <t>وبوعلي</t>
  </si>
  <si>
    <t>سرمايه‌گذاري‌بوعلي‌</t>
  </si>
  <si>
    <t>ددام</t>
  </si>
  <si>
    <t>داروسازي زاگرس فارمد پارس</t>
  </si>
  <si>
    <t>حتايد</t>
  </si>
  <si>
    <t>صندوق طلا مفید</t>
  </si>
  <si>
    <t>دروز</t>
  </si>
  <si>
    <t>داروسازي‌ روزدارو</t>
  </si>
  <si>
    <t>بالاس</t>
  </si>
  <si>
    <t>مهندسي ساختمان تاسيسات راه آهن</t>
  </si>
  <si>
    <t>دزهراوي</t>
  </si>
  <si>
    <t>داروسازي‌زهراوي‌</t>
  </si>
  <si>
    <t>وثوق</t>
  </si>
  <si>
    <t>سرمايه گذاري وثوق امين</t>
  </si>
  <si>
    <t>فولاي</t>
  </si>
  <si>
    <t>صنايع فولاد آلياژي يزد</t>
  </si>
  <si>
    <t>ثنوسا</t>
  </si>
  <si>
    <t>نوسازي‌وساختمان‌تهران‌</t>
  </si>
  <si>
    <t>گنگين</t>
  </si>
  <si>
    <t>اقتصادي نگين گردشگري ايرانيان</t>
  </si>
  <si>
    <t>ضترا3023</t>
  </si>
  <si>
    <t>اختيارخ شتران-3750-1402/03/28</t>
  </si>
  <si>
    <t>ثتران</t>
  </si>
  <si>
    <t>سرمايه گذاري مسكن تهران</t>
  </si>
  <si>
    <t>پارسان</t>
  </si>
  <si>
    <t>گسترش نفت و گاز پارسيان</t>
  </si>
  <si>
    <t>كايتا</t>
  </si>
  <si>
    <t>ايتالران‌</t>
  </si>
  <si>
    <t>سلار</t>
  </si>
  <si>
    <t>شركت سيمان لارستان</t>
  </si>
  <si>
    <t>دقاضي</t>
  </si>
  <si>
    <t>داروسازي شهيد قاضي</t>
  </si>
  <si>
    <t>اتكام</t>
  </si>
  <si>
    <t>بيمه اتكايي امين</t>
  </si>
  <si>
    <t>پرداخت</t>
  </si>
  <si>
    <t>به پرداخت ملت</t>
  </si>
  <si>
    <t>چافست</t>
  </si>
  <si>
    <t>افست‌</t>
  </si>
  <si>
    <t>وايرا</t>
  </si>
  <si>
    <t>سرمايه گذاري صنايع ايران</t>
  </si>
  <si>
    <t>صندوق س تمشك نماد رشد-در صندوق</t>
  </si>
  <si>
    <t>آبين</t>
  </si>
  <si>
    <t>كشت و صنعت آبشيرين</t>
  </si>
  <si>
    <t>اراد65</t>
  </si>
  <si>
    <t>گام020813</t>
  </si>
  <si>
    <t xml:space="preserve">گواهي اعتبارمولد رفاه0208	</t>
  </si>
  <si>
    <t>شمواد</t>
  </si>
  <si>
    <t>توليد مواداوليه الياف مصنوعي</t>
  </si>
  <si>
    <t>دكيمي</t>
  </si>
  <si>
    <t>كيميدارو</t>
  </si>
  <si>
    <t>امين</t>
  </si>
  <si>
    <t>تامين سرمايه امين</t>
  </si>
  <si>
    <t>طبساما305</t>
  </si>
  <si>
    <t>اختيارف بساما-12000-14020310</t>
  </si>
  <si>
    <t>دشيمي</t>
  </si>
  <si>
    <t>شيمي‌ داروئي‌ داروپخش‌</t>
  </si>
  <si>
    <t>ذوب</t>
  </si>
  <si>
    <t>ذوب آهن اصفهان</t>
  </si>
  <si>
    <t>طهاي3007</t>
  </si>
  <si>
    <t>اختيارف هاي وب-3229-1402/03/03</t>
  </si>
  <si>
    <t>بترانس</t>
  </si>
  <si>
    <t>ايران‌ ترانسفو</t>
  </si>
  <si>
    <t>فخوز</t>
  </si>
  <si>
    <t>فولاد  خوزستان</t>
  </si>
  <si>
    <t>وبصادر</t>
  </si>
  <si>
    <t>بانك صادرات ايران</t>
  </si>
  <si>
    <t>فمراد</t>
  </si>
  <si>
    <t>آلومراد</t>
  </si>
  <si>
    <t>شصفها</t>
  </si>
  <si>
    <t>پتروشيمي‌ اصفهان‌</t>
  </si>
  <si>
    <t>ثعمرا</t>
  </si>
  <si>
    <t>عمران و توسعه شاهد</t>
  </si>
  <si>
    <t>ضخوز2036</t>
  </si>
  <si>
    <t>اختيارخ فخوز-3750-1402/02/10</t>
  </si>
  <si>
    <t>ضستا2015</t>
  </si>
  <si>
    <t>اختيارخ شستا-1200-1402/02/13</t>
  </si>
  <si>
    <t>وتوس</t>
  </si>
  <si>
    <t>توسعه‌شهري‌توس‌گستر</t>
  </si>
  <si>
    <t>ضذوب3018</t>
  </si>
  <si>
    <t>اختيارخ ذوب-3910-1402/03/07</t>
  </si>
  <si>
    <t>آبادا</t>
  </si>
  <si>
    <t>توليد نيروي برق آبادان</t>
  </si>
  <si>
    <t>فسرب</t>
  </si>
  <si>
    <t>ملي‌ سرب‌وروي‌ ايران‌</t>
  </si>
  <si>
    <t>كايزد</t>
  </si>
  <si>
    <t>فرانسوز يزد</t>
  </si>
  <si>
    <t>لابسا</t>
  </si>
  <si>
    <t>آبسال‌</t>
  </si>
  <si>
    <t>ضخوز2037</t>
  </si>
  <si>
    <t>اختيارخ فخوز-4000-1402/02/10</t>
  </si>
  <si>
    <t>ضخوز2032</t>
  </si>
  <si>
    <t>اختيارخ فخوز-2800-1402/02/10</t>
  </si>
  <si>
    <t>خبازرس</t>
  </si>
  <si>
    <t>بازرسي مهندسي و صنعتي ايران</t>
  </si>
  <si>
    <t>ونيرو</t>
  </si>
  <si>
    <t>سرمايه‌گذاري‌نيرو</t>
  </si>
  <si>
    <t>تايرا</t>
  </si>
  <si>
    <t>تراكتورسازي‌ايران‌</t>
  </si>
  <si>
    <t>نتوس</t>
  </si>
  <si>
    <t>پشم‌ بافي‌ توس</t>
  </si>
  <si>
    <t>پيزد</t>
  </si>
  <si>
    <t>مجتمع صنايع لاستيك يزد</t>
  </si>
  <si>
    <t>ضسرو4004</t>
  </si>
  <si>
    <t>اختيارخ سرو-90000-1402/04/07</t>
  </si>
  <si>
    <t>وسنا</t>
  </si>
  <si>
    <t>سرمايه گذاري نيروگاهي ايران</t>
  </si>
  <si>
    <t>حفارس</t>
  </si>
  <si>
    <t>حمل و نقل بين المللي خليج فارس</t>
  </si>
  <si>
    <t>شاروم</t>
  </si>
  <si>
    <t>پتروشيمي اروميه</t>
  </si>
  <si>
    <t>شاملا</t>
  </si>
  <si>
    <t>معدني‌ املاح‌  ايران‌</t>
  </si>
  <si>
    <t>دالبر</t>
  </si>
  <si>
    <t>البرزدارو</t>
  </si>
  <si>
    <t>مديريت</t>
  </si>
  <si>
    <t>س. و خدمات مديريت صند. ب كشوري</t>
  </si>
  <si>
    <t>وصنعت</t>
  </si>
  <si>
    <t>سرمايه گذاري توسعه صنعت وتجارت</t>
  </si>
  <si>
    <t>ضسرو4002</t>
  </si>
  <si>
    <t>اختيارخ سرو-74000-1402/04/07</t>
  </si>
  <si>
    <t>گكيش</t>
  </si>
  <si>
    <t>توريستي ورفاهي آبادگران كيش</t>
  </si>
  <si>
    <t>اكسيژن</t>
  </si>
  <si>
    <t>صندوق س. سهامي اكسيژن-س</t>
  </si>
  <si>
    <t>توسعه سرمايه گذاري ميلاد پارس</t>
  </si>
  <si>
    <t>ضستا2009</t>
  </si>
  <si>
    <t>اختيارخ شستا-600-1402/02/13</t>
  </si>
  <si>
    <t>ضستا2012</t>
  </si>
  <si>
    <t>اختيارخ شستا-900-1402/02/13</t>
  </si>
  <si>
    <t>پخش</t>
  </si>
  <si>
    <t>پخش البرز</t>
  </si>
  <si>
    <t>پسهند</t>
  </si>
  <si>
    <t>صنايع‌ لاستيكي‌  سهند</t>
  </si>
  <si>
    <t>ثفارس</t>
  </si>
  <si>
    <t>عمران‌وتوسعه‌فارس‌</t>
  </si>
  <si>
    <t>ضترا3022</t>
  </si>
  <si>
    <t>اختيارخ شتران-3500-1402/03/28</t>
  </si>
  <si>
    <t>وسينا</t>
  </si>
  <si>
    <t>بانك سينا</t>
  </si>
  <si>
    <t>خمحركه</t>
  </si>
  <si>
    <t>نيرو محركه‌</t>
  </si>
  <si>
    <t>بشهاب</t>
  </si>
  <si>
    <t>لامپ‌  پارس‌ شهاب‌</t>
  </si>
  <si>
    <t>قرن</t>
  </si>
  <si>
    <t>پديده شيمي قرن</t>
  </si>
  <si>
    <t>كسرام</t>
  </si>
  <si>
    <t>پارس‌ سرام‌</t>
  </si>
  <si>
    <t>ضستا2013</t>
  </si>
  <si>
    <t>اختيارخ شستا-1000-1402/02/13</t>
  </si>
  <si>
    <t>صنايع پتروشيمي خليج فارس</t>
  </si>
  <si>
    <t>ودانا</t>
  </si>
  <si>
    <t>سرمايه گذاري دانايان</t>
  </si>
  <si>
    <t>اخزا0072</t>
  </si>
  <si>
    <t>اردستان</t>
  </si>
  <si>
    <t>سيمان اردستان</t>
  </si>
  <si>
    <t>فيروزا2</t>
  </si>
  <si>
    <t>فاراك</t>
  </si>
  <si>
    <t>ماشين‌ سازي‌ اراك‌</t>
  </si>
  <si>
    <t>تاتمس</t>
  </si>
  <si>
    <t>كارخانجات صنعتي وتوليدي اتمسفر</t>
  </si>
  <si>
    <t>ضسمگا700</t>
  </si>
  <si>
    <t>اختيارخ سمگا-5500-14020709</t>
  </si>
  <si>
    <t>طستا6009</t>
  </si>
  <si>
    <t>اختيارف شستا-1365-1402/06/08</t>
  </si>
  <si>
    <t>شنفت</t>
  </si>
  <si>
    <t>نفت‌ پارس‌</t>
  </si>
  <si>
    <t>فبيرا</t>
  </si>
  <si>
    <t>بسته‌ بندي‌ ايران‌</t>
  </si>
  <si>
    <t>قاروم</t>
  </si>
  <si>
    <t>قند اروميه</t>
  </si>
  <si>
    <t>آينده</t>
  </si>
  <si>
    <t>بازرگاني آينده سازان بهشت پارس</t>
  </si>
  <si>
    <t>شزنگ</t>
  </si>
  <si>
    <t>تجهيزنيروي‌زنگان‌</t>
  </si>
  <si>
    <t>وآتوس</t>
  </si>
  <si>
    <t>توسعه س. كشاورزي آرين توسكا</t>
  </si>
  <si>
    <t>فگستر</t>
  </si>
  <si>
    <t>گسترش صنايع روي ايرانيان</t>
  </si>
  <si>
    <t>فسبزوار</t>
  </si>
  <si>
    <t>پارس فولاد سبزوار</t>
  </si>
  <si>
    <t>ملت</t>
  </si>
  <si>
    <t>بيمه ملت</t>
  </si>
  <si>
    <t>ضبدر2039</t>
  </si>
  <si>
    <t>اختيارخ شبندر-10000-1402/02/10</t>
  </si>
  <si>
    <t>شپارس</t>
  </si>
  <si>
    <t>بين‌ المللي‌ محصولات‌  پارس‌</t>
  </si>
  <si>
    <t>داوه</t>
  </si>
  <si>
    <t>داروسازي آوه سينا</t>
  </si>
  <si>
    <t>سيتا</t>
  </si>
  <si>
    <t>سرمايه گذاري سيمان تامين</t>
  </si>
  <si>
    <t>پدرخش</t>
  </si>
  <si>
    <t>درخشان‌ تهران‌</t>
  </si>
  <si>
    <t>طستر2010</t>
  </si>
  <si>
    <t>اختيارف خگستر-5500-1402/02/24</t>
  </si>
  <si>
    <t>سدبير</t>
  </si>
  <si>
    <t>س. تدبيرگران فارس وخوزستان</t>
  </si>
  <si>
    <t>فروي</t>
  </si>
  <si>
    <t>ذوب روي اصفهان</t>
  </si>
  <si>
    <t>ضستر2008</t>
  </si>
  <si>
    <t>اختيارخ خگستر-4500-1402/02/24</t>
  </si>
  <si>
    <t>حآسا</t>
  </si>
  <si>
    <t>آسيا سير ارس</t>
  </si>
  <si>
    <t>وسپه</t>
  </si>
  <si>
    <t>سرمايه‌گذاري‌ سپه‌</t>
  </si>
  <si>
    <t>ضبدر2040</t>
  </si>
  <si>
    <t>اختيارخ شبندر-11000-1402/02/10</t>
  </si>
  <si>
    <t>زنجان</t>
  </si>
  <si>
    <t>صنايع كشاورزي وكود زنجان</t>
  </si>
  <si>
    <t>قيستو</t>
  </si>
  <si>
    <t>شركت قند بيستون</t>
  </si>
  <si>
    <t>شكف</t>
  </si>
  <si>
    <t>كف</t>
  </si>
  <si>
    <t>پايا</t>
  </si>
  <si>
    <t>صندوق س.پايا ثروت پويا-د</t>
  </si>
  <si>
    <t>اخزا1032</t>
  </si>
  <si>
    <t>سامان</t>
  </si>
  <si>
    <t>بانك سامان</t>
  </si>
  <si>
    <t>چفيبر</t>
  </si>
  <si>
    <t>فيبر ايران‌</t>
  </si>
  <si>
    <t>گام020661</t>
  </si>
  <si>
    <t>گواهي اعتبار مولد شهر0206</t>
  </si>
  <si>
    <t>آسيا</t>
  </si>
  <si>
    <t>بيمه آسيا</t>
  </si>
  <si>
    <t>ولصنم</t>
  </si>
  <si>
    <t>ليزينگ‌صنعت‌ومعدن‌</t>
  </si>
  <si>
    <t>ضسپا3020</t>
  </si>
  <si>
    <t>اختيارخ خساپا-1600-1402/03/24</t>
  </si>
  <si>
    <t>ضسپا3024</t>
  </si>
  <si>
    <t>اختيارخ خساپا-2000-1402/03/24</t>
  </si>
  <si>
    <t>ضسپا3025</t>
  </si>
  <si>
    <t>اختيارخ خساپا-2200-1402/03/24</t>
  </si>
  <si>
    <t>ضسپا3026</t>
  </si>
  <si>
    <t>اختيارخ خساپا-2400-1402/03/24</t>
  </si>
  <si>
    <t>ضسپا3030</t>
  </si>
  <si>
    <t>اختيارخ خساپا-3250-1402/03/24</t>
  </si>
  <si>
    <t>غگيلا</t>
  </si>
  <si>
    <t>شيرپاستوريزه پگاه گيلان</t>
  </si>
  <si>
    <t>كمرجان</t>
  </si>
  <si>
    <t>بازرگاني و توليدي مرجان كار</t>
  </si>
  <si>
    <t>ضسپا3027</t>
  </si>
  <si>
    <t>اختيارخ خساپا-2600-1402/03/24</t>
  </si>
  <si>
    <t>ضروز4005</t>
  </si>
  <si>
    <t>اختيارخ فيروزه-20000-02/04/14</t>
  </si>
  <si>
    <t>ضروز4007</t>
  </si>
  <si>
    <t>اختيارخ فيروزه-24000-02/04/14</t>
  </si>
  <si>
    <t>غشصفا</t>
  </si>
  <si>
    <t>شيرپاستوريزه‌پگاه‌اصفهان‌</t>
  </si>
  <si>
    <t>طستا6010</t>
  </si>
  <si>
    <t>اختيارف شستا-1465-1402/06/08</t>
  </si>
  <si>
    <t>ضسپا3028</t>
  </si>
  <si>
    <t>اختيارخ خساپا-2800-1402/03/24</t>
  </si>
  <si>
    <t>ضسپا3022</t>
  </si>
  <si>
    <t>اختيارخ خساپا-1800-1402/03/24</t>
  </si>
  <si>
    <t>خزاميا</t>
  </si>
  <si>
    <t>زامياد</t>
  </si>
  <si>
    <t>اخزا0032</t>
  </si>
  <si>
    <t>قچار</t>
  </si>
  <si>
    <t>فراوردههاي غذايي وقند چهارمحال</t>
  </si>
  <si>
    <t>غشاذر</t>
  </si>
  <si>
    <t>پگاه‌آذربايجان‌غربي‌</t>
  </si>
  <si>
    <t>ضسپا3023</t>
  </si>
  <si>
    <t>اختيارخ خساپا-1900-1402/03/24</t>
  </si>
  <si>
    <t>ونوين</t>
  </si>
  <si>
    <t>بانك‌اقتصادنوين‌</t>
  </si>
  <si>
    <t>زكوثر</t>
  </si>
  <si>
    <t>سرمايه گذاري كشاورزي كوثر</t>
  </si>
  <si>
    <t>ثعتما</t>
  </si>
  <si>
    <t>س. ساختماني اعتماد گستر</t>
  </si>
  <si>
    <t>كمينا</t>
  </si>
  <si>
    <t>شيشه سازي مينا</t>
  </si>
  <si>
    <t>لكما</t>
  </si>
  <si>
    <t>كارخانجات‌مخابراتي‌ايران‌</t>
  </si>
  <si>
    <t>نوين</t>
  </si>
  <si>
    <t>بيمه نوين</t>
  </si>
  <si>
    <t>سهرمز</t>
  </si>
  <si>
    <t>سيمان‌هرمزگان‌</t>
  </si>
  <si>
    <t>لخزر</t>
  </si>
  <si>
    <t>پارس‌ خزر</t>
  </si>
  <si>
    <t>كتوكا</t>
  </si>
  <si>
    <t>توليدي و خدمات صنايع نسوز توكا</t>
  </si>
  <si>
    <t>مرابحه عام دولت69-ش.خ0310</t>
  </si>
  <si>
    <t>ثزاگرس</t>
  </si>
  <si>
    <t>سرمايه گذاري توسعه عمران زاگرس</t>
  </si>
  <si>
    <t>اخزا9102</t>
  </si>
  <si>
    <t>خبهمن</t>
  </si>
  <si>
    <t>گروه‌بهمن‌</t>
  </si>
  <si>
    <t>گام0208132</t>
  </si>
  <si>
    <t>توسعه سامانه ي نرم افزاري نگين</t>
  </si>
  <si>
    <t>ضتوسن705</t>
  </si>
  <si>
    <t>اختيارخ توسن-16600-14020716</t>
  </si>
  <si>
    <t>خودرو</t>
  </si>
  <si>
    <t>ايران‌ خودرو</t>
  </si>
  <si>
    <t>وبملت</t>
  </si>
  <si>
    <t>بانك ملت</t>
  </si>
  <si>
    <t>قلرست</t>
  </si>
  <si>
    <t>قند لرستان‌</t>
  </si>
  <si>
    <t>توسن</t>
  </si>
  <si>
    <t>بكاب</t>
  </si>
  <si>
    <t>صنايع‌جوشكاب‌يزد</t>
  </si>
  <si>
    <t>اراد69</t>
  </si>
  <si>
    <t>وسكاب</t>
  </si>
  <si>
    <t>س.ص.بازنشستگي كاركنان بانكها</t>
  </si>
  <si>
    <t>ضخود4032</t>
  </si>
  <si>
    <t>اختيارخ خودرو-4500-1402/04/07</t>
  </si>
  <si>
    <t>ضملت3018</t>
  </si>
  <si>
    <t>اختيارخ وبملت-1930-1402/03/28</t>
  </si>
  <si>
    <t>ضخود3070</t>
  </si>
  <si>
    <t>اختيارخ خودرو-3000-1402/03/03</t>
  </si>
  <si>
    <t>ضخاو3010</t>
  </si>
  <si>
    <t>اختيارخ وخاور-6000-1402/03/17</t>
  </si>
  <si>
    <t>ضخاو3007</t>
  </si>
  <si>
    <t>اختيارخ وخاور-4500-1402/03/17</t>
  </si>
  <si>
    <t>ضخود3072</t>
  </si>
  <si>
    <t>اختيارخ خودرو-3500-1402/03/03</t>
  </si>
  <si>
    <t>ضخود4026</t>
  </si>
  <si>
    <t>اختيارخ خودرو-2800-1402/04/07</t>
  </si>
  <si>
    <t>ضملت3023</t>
  </si>
  <si>
    <t>اختيارخ وبملت-2784-1402/03/28</t>
  </si>
  <si>
    <t>ضخود2034</t>
  </si>
  <si>
    <t>اختيارخ خودرو-3500-1402/02/13</t>
  </si>
  <si>
    <t>ضخود0108</t>
  </si>
  <si>
    <t>اختيارخ خودرو-2800-1402/01/09</t>
  </si>
  <si>
    <t>ضخود0109</t>
  </si>
  <si>
    <t>اختيارخ خودرو-3000-1402/01/09</t>
  </si>
  <si>
    <t>ضخود0111</t>
  </si>
  <si>
    <t>اختيارخ خودرو-3500-1402/01/09</t>
  </si>
  <si>
    <t>ضخود3067</t>
  </si>
  <si>
    <t>اختيارخ خودرو-2400-1402/03/03</t>
  </si>
  <si>
    <t>ضخود3068</t>
  </si>
  <si>
    <t>اختيارخ خودرو-2600-1402/03/03</t>
  </si>
  <si>
    <t>ضخود3069</t>
  </si>
  <si>
    <t>اختيارخ خودرو-2800-1402/03/03</t>
  </si>
  <si>
    <t>ضخود3071</t>
  </si>
  <si>
    <t>اختيارخ خودرو-3250-1402/03/03</t>
  </si>
  <si>
    <t>خكرمان</t>
  </si>
  <si>
    <t>سرمايه گذاري آرمان گستر پاريز</t>
  </si>
  <si>
    <t xml:space="preserve"> کارگزاری مفید</t>
  </si>
  <si>
    <t>صندوق س. اهرمي توان مفيد-س</t>
  </si>
  <si>
    <t>نمرينو</t>
  </si>
  <si>
    <t>ايران‌ مرينوس‌</t>
  </si>
  <si>
    <t>زنجانح</t>
  </si>
  <si>
    <t>ح. صنايع كشاورزي وكود زنجان</t>
  </si>
  <si>
    <t>ضسپا6005</t>
  </si>
  <si>
    <t>اختيارخ خساپا-2000-1402/06/14</t>
  </si>
  <si>
    <t>ضسپا6011</t>
  </si>
  <si>
    <t>اختيارخ خساپا-3250-1402/06/14</t>
  </si>
  <si>
    <t>ضستا2010</t>
  </si>
  <si>
    <t>اختيارخ شستا-700-1402/02/13</t>
  </si>
  <si>
    <t>كقزوي</t>
  </si>
  <si>
    <t>شيشه‌ قزوين‌</t>
  </si>
  <si>
    <t>لبوتان</t>
  </si>
  <si>
    <t>گروه‌صنعتي‌بوتان‌</t>
  </si>
  <si>
    <t>ضذوب3016</t>
  </si>
  <si>
    <t>اختيارخ ذوب-3258-1402/03/07</t>
  </si>
  <si>
    <t>وپترو</t>
  </si>
  <si>
    <t>سرمايه‌گذاري صنايع پتروشيمي‌</t>
  </si>
  <si>
    <t>غپونه</t>
  </si>
  <si>
    <t>نوش پونه مشهد</t>
  </si>
  <si>
    <t>ضخود0110</t>
  </si>
  <si>
    <t>اختيارخ خودرو-3250-1402/01/09</t>
  </si>
  <si>
    <t>ضخود3066</t>
  </si>
  <si>
    <t>اختيارخ خودرو-2200-1402/03/03</t>
  </si>
  <si>
    <t>ضسپا3018</t>
  </si>
  <si>
    <t>اختيارخ خساپا-1400-1402/03/24</t>
  </si>
  <si>
    <t>غپآذر</t>
  </si>
  <si>
    <t>شير پگاه آذربايجان شرقي</t>
  </si>
  <si>
    <t>ضستا2014</t>
  </si>
  <si>
    <t>اختيارخ شستا-1100-1402/02/13</t>
  </si>
  <si>
    <t>اطلس2</t>
  </si>
  <si>
    <t>ضستا3007</t>
  </si>
  <si>
    <t>اختيارخ شستا-1300-1402/03/17</t>
  </si>
  <si>
    <t>كنور</t>
  </si>
  <si>
    <t>توسعه معدني و صنعتي صبانور</t>
  </si>
  <si>
    <t>فغديرح</t>
  </si>
  <si>
    <t>ح.آهن و فولاد غدير ايرانيان</t>
  </si>
  <si>
    <t>صندوق س پتروشيمي آگاه-بخشي</t>
  </si>
  <si>
    <t>غگز</t>
  </si>
  <si>
    <t>گز سكه</t>
  </si>
  <si>
    <t>سكه0112پ03</t>
  </si>
  <si>
    <t>تمام سكه طرح جديد0112سامان</t>
  </si>
  <si>
    <t>اخزا0102</t>
  </si>
  <si>
    <t>صندوق طلاي عيار مفيد</t>
  </si>
  <si>
    <t>وآفري</t>
  </si>
  <si>
    <t>بيمه كارآفرين</t>
  </si>
  <si>
    <t>زر</t>
  </si>
  <si>
    <t>صندوق س.پشتوانه سكه طلاي زر</t>
  </si>
  <si>
    <t>نفيس</t>
  </si>
  <si>
    <t>صندوق س.پشتوانه طلاي صبا</t>
  </si>
  <si>
    <t>تپسي</t>
  </si>
  <si>
    <t>پيشگامان فن آوري و دانش آراميس</t>
  </si>
  <si>
    <t>كهربا</t>
  </si>
  <si>
    <t>صندوق س.پشتوانه سكه طلا كهربا</t>
  </si>
  <si>
    <t>مثقال</t>
  </si>
  <si>
    <t>صندوق س.پشتوانه طلاي زرين آگاه</t>
  </si>
  <si>
    <t>ضخاور110</t>
  </si>
  <si>
    <t>اختيارخ خاور-3500-14020116</t>
  </si>
  <si>
    <t>ضخاور111</t>
  </si>
  <si>
    <t>اختيارخ خاور-3700-14020116</t>
  </si>
  <si>
    <t>وهنر</t>
  </si>
  <si>
    <t>گروه توسعه هنر ايران</t>
  </si>
  <si>
    <t>ضخود2032</t>
  </si>
  <si>
    <t>اختيارخ خودرو-3000-1402/02/13</t>
  </si>
  <si>
    <t>ضخود2033</t>
  </si>
  <si>
    <t>اختيارخ خودرو-3250-1402/02/13</t>
  </si>
  <si>
    <t>ضترا3027</t>
  </si>
  <si>
    <t>اختيارخ شتران-5500-1402/03/28</t>
  </si>
  <si>
    <t>كارا4</t>
  </si>
  <si>
    <t>سكه0411پ05</t>
  </si>
  <si>
    <t>تمام سكه طرح جديد0411 آينده</t>
  </si>
  <si>
    <t>گوهران</t>
  </si>
  <si>
    <t>سرمايه گذاري توسعه گوهران اميد</t>
  </si>
  <si>
    <t>گنج</t>
  </si>
  <si>
    <t>صندوق س. طلا كيميا زرين كاردان</t>
  </si>
  <si>
    <t>سكه0312پ01</t>
  </si>
  <si>
    <t>تمام سكه طرح جديد0312 رفاه</t>
  </si>
  <si>
    <t>صندوق سكه طلاي كيان</t>
  </si>
  <si>
    <t>گوهر</t>
  </si>
  <si>
    <t>ضستا3006</t>
  </si>
  <si>
    <t>اختيارخ شستا-1200-1402/03/17</t>
  </si>
  <si>
    <t>فپنتا</t>
  </si>
  <si>
    <t>سپنتا</t>
  </si>
  <si>
    <t>اراد1044</t>
  </si>
  <si>
    <t>اراد1214</t>
  </si>
  <si>
    <t>مرابحه عام دولت121-ش.خ030324</t>
  </si>
  <si>
    <t>مرابحه عام دولت3-ش.خ 0208</t>
  </si>
  <si>
    <t>ولغدر</t>
  </si>
  <si>
    <t>ليزينگ‌خودروغدير</t>
  </si>
  <si>
    <t>قثابت</t>
  </si>
  <si>
    <t>قند ثابت‌ خراسان‌</t>
  </si>
  <si>
    <t>ضخود5017</t>
  </si>
  <si>
    <t>اختيارخ خودرو-3000-1402/05/11</t>
  </si>
  <si>
    <t>كچاد</t>
  </si>
  <si>
    <t>معدني‌وصنعتي‌چادرملو</t>
  </si>
  <si>
    <t>ضپلا4010</t>
  </si>
  <si>
    <t>اختيارخ پالايش-90000-02/04/18</t>
  </si>
  <si>
    <t>ضخود2031</t>
  </si>
  <si>
    <t>اختيارخ خودرو-2800-1402/02/13</t>
  </si>
  <si>
    <t>ضخود3061</t>
  </si>
  <si>
    <t>اختيارخ خودرو-1600-1402/03/03</t>
  </si>
  <si>
    <t>ضسرو1022</t>
  </si>
  <si>
    <t>اختيارخ سرو-130000-1402/10/06</t>
  </si>
  <si>
    <t>ضستا2016</t>
  </si>
  <si>
    <t>اختيارخ شستا-1300-1402/02/13</t>
  </si>
  <si>
    <t>گام020713</t>
  </si>
  <si>
    <t>گواهي اعتبار مولد رفاه0207</t>
  </si>
  <si>
    <t>خريخت</t>
  </si>
  <si>
    <t>صنايع‌ريخته‌گري‌ايران‌</t>
  </si>
  <si>
    <t>صبا</t>
  </si>
  <si>
    <t>سرمايه گذاري صبا تامين</t>
  </si>
  <si>
    <t>ضخود3065</t>
  </si>
  <si>
    <t>اختيارخ خودرو-2000-1402/03/03</t>
  </si>
  <si>
    <t>ثالوند</t>
  </si>
  <si>
    <t>سرمايه گذاري مسكن الوند</t>
  </si>
  <si>
    <t>شپديس</t>
  </si>
  <si>
    <t>پتروشيمي پرديس</t>
  </si>
  <si>
    <t>فروس</t>
  </si>
  <si>
    <t>فروسيليس‌ ايران‌</t>
  </si>
  <si>
    <t>ضصاد3019</t>
  </si>
  <si>
    <t>اختيارخ وبصادر-1300-1402/03/17</t>
  </si>
  <si>
    <t>غگل</t>
  </si>
  <si>
    <t>گلوكوزان‌</t>
  </si>
  <si>
    <t>تشتاد</t>
  </si>
  <si>
    <t>صنايع توليدي اشتاد ايران‌</t>
  </si>
  <si>
    <t>بموتو</t>
  </si>
  <si>
    <t>موتوژن‌</t>
  </si>
  <si>
    <t>قتربت</t>
  </si>
  <si>
    <t>قند تربت حيدريه</t>
  </si>
  <si>
    <t>وصندوق</t>
  </si>
  <si>
    <t>سرمايه‌گذاري‌صندوق‌بازنشستگي‌</t>
  </si>
  <si>
    <t>ضذوب3020</t>
  </si>
  <si>
    <t>اختيارخ ذوب-5000-1402/03/07</t>
  </si>
  <si>
    <t>ضخود3062</t>
  </si>
  <si>
    <t>اختيارخ خودرو-1700-1402/03/03</t>
  </si>
  <si>
    <t>وثخوز</t>
  </si>
  <si>
    <t>سرمايه گذاري و توسعه خوزستان</t>
  </si>
  <si>
    <t>اعتبار</t>
  </si>
  <si>
    <t>صندوق س. نوع دوم اعتبار-د</t>
  </si>
  <si>
    <t>وسين</t>
  </si>
  <si>
    <t>بيمه سينا</t>
  </si>
  <si>
    <t>كلر</t>
  </si>
  <si>
    <t>كلر پارس</t>
  </si>
  <si>
    <t>دارو</t>
  </si>
  <si>
    <t>كارخانجات‌داروپخش‌</t>
  </si>
  <si>
    <t>قمرو</t>
  </si>
  <si>
    <t>قند مرودشت‌</t>
  </si>
  <si>
    <t>پتروآگاه2</t>
  </si>
  <si>
    <t>سپرمي</t>
  </si>
  <si>
    <t>پرميت‌</t>
  </si>
  <si>
    <t>سبزوا</t>
  </si>
  <si>
    <t>سيمان لار سبزوار</t>
  </si>
  <si>
    <t>كطبس</t>
  </si>
  <si>
    <t>ذغال‌سنگ‌ نگين‌ ط‌بس‌</t>
  </si>
  <si>
    <t>ثرود</t>
  </si>
  <si>
    <t>سرمايه‌گذاري مسكن زاينده رود</t>
  </si>
  <si>
    <t>پاسا</t>
  </si>
  <si>
    <t>ايران‌ياساتايرورابر</t>
  </si>
  <si>
    <t>سرو2</t>
  </si>
  <si>
    <t>حپترو</t>
  </si>
  <si>
    <t>حمل و نقل پتروشيمي( سهامي عام</t>
  </si>
  <si>
    <t>شيراز</t>
  </si>
  <si>
    <t>پتروشيمي‌شيراز</t>
  </si>
  <si>
    <t>فسپا</t>
  </si>
  <si>
    <t>گروه‌صنعتي‌سپاهان‌</t>
  </si>
  <si>
    <t>ودي</t>
  </si>
  <si>
    <t>بيمه  دي</t>
  </si>
  <si>
    <t>وبشهر</t>
  </si>
  <si>
    <t>توسعه‌ صنايع‌ بهشهر(هلدينگ</t>
  </si>
  <si>
    <t>شسم</t>
  </si>
  <si>
    <t>توليد سموم‌ علف‌ كش</t>
  </si>
  <si>
    <t>ديبا</t>
  </si>
  <si>
    <t>صندوق س بازده پايه صبا-ثابت</t>
  </si>
  <si>
    <t>زيتون2</t>
  </si>
  <si>
    <t>ضستا1215</t>
  </si>
  <si>
    <t>اختيارخ شستا-1300-1402/12/09</t>
  </si>
  <si>
    <t>ضبدر2042</t>
  </si>
  <si>
    <t>اختيارخ شبندر-13000-1402/02/10</t>
  </si>
  <si>
    <t>ضستا1217</t>
  </si>
  <si>
    <t>اختيارخ شستا-1500-1402/12/09</t>
  </si>
  <si>
    <t>ضستا1218</t>
  </si>
  <si>
    <t>اختيارخ شستا-1600-1402/12/09</t>
  </si>
  <si>
    <t>ضستا1220</t>
  </si>
  <si>
    <t>اختيارخ شستا-1800-1402/12/09</t>
  </si>
  <si>
    <t>ساينا</t>
  </si>
  <si>
    <t>صنايع بهداشتي ساينا</t>
  </si>
  <si>
    <t>واعتبار</t>
  </si>
  <si>
    <t>سرمايه گذاري اعتبار ايران</t>
  </si>
  <si>
    <t>چدن</t>
  </si>
  <si>
    <t>توليدي چدن سازان</t>
  </si>
  <si>
    <t xml:space="preserve">قیمت خرید </t>
  </si>
  <si>
    <t>تپكو</t>
  </si>
  <si>
    <t>توليدتجهيزات‌سنگين‌هپكو</t>
  </si>
  <si>
    <t>اراد964</t>
  </si>
  <si>
    <t>مرابحه عام دولت96-ش.خ030414</t>
  </si>
  <si>
    <t>دلقما</t>
  </si>
  <si>
    <t>دارويي‌ لقمان‌</t>
  </si>
  <si>
    <t>اخزا9084</t>
  </si>
  <si>
    <t>ثنظام</t>
  </si>
  <si>
    <t>س. ساختماني نظام مهندسي ايران</t>
  </si>
  <si>
    <t>تكنو</t>
  </si>
  <si>
    <t>تكنوتار</t>
  </si>
  <si>
    <t>پتاير</t>
  </si>
  <si>
    <t>ايران‌ تاير</t>
  </si>
  <si>
    <t>رنيك</t>
  </si>
  <si>
    <t>جنرال مكانيك</t>
  </si>
  <si>
    <t>آتيه06</t>
  </si>
  <si>
    <t>مرابحه فولاد آتيه 14061206</t>
  </si>
  <si>
    <t>ضخاور106</t>
  </si>
  <si>
    <t>اختيارخ خاور-2700-14020116</t>
  </si>
  <si>
    <t>ضخاور112</t>
  </si>
  <si>
    <t>اختيارخ خاور-3900-14020116</t>
  </si>
  <si>
    <t>ضخاور113</t>
  </si>
  <si>
    <t>اختيارخ خاور-4100-14020116</t>
  </si>
  <si>
    <t>تملي808</t>
  </si>
  <si>
    <t>تسهيلات مسكن ب. ملي-آبان98</t>
  </si>
  <si>
    <t>گدنا</t>
  </si>
  <si>
    <t>تهيه توزيع غذاي دنا آفرين فدك</t>
  </si>
  <si>
    <t>هم وزن2</t>
  </si>
  <si>
    <t>كماسه</t>
  </si>
  <si>
    <t>تامين‌ ماسه‌ ريخته‌گري‌</t>
  </si>
  <si>
    <t>كوثر</t>
  </si>
  <si>
    <t>بيمه كوثر</t>
  </si>
  <si>
    <t>وفتخار</t>
  </si>
  <si>
    <t>سرمايه گذاري افتخار سهام</t>
  </si>
  <si>
    <t>پرديس</t>
  </si>
  <si>
    <t>سرمايه گذاري پرديس</t>
  </si>
  <si>
    <t>ورنا</t>
  </si>
  <si>
    <t>سرمايه‌گذاري‌ رنا(هلدينگ‌</t>
  </si>
  <si>
    <t>زپارس</t>
  </si>
  <si>
    <t>ملي كشت و صنعت و دامپروري پارس</t>
  </si>
  <si>
    <t>فالوم</t>
  </si>
  <si>
    <t>آلومتك‌</t>
  </si>
  <si>
    <t>ضخاور108</t>
  </si>
  <si>
    <t>اختيارخ خاور-3100-14020116</t>
  </si>
  <si>
    <t>حسير</t>
  </si>
  <si>
    <t>ريل سير كوثر</t>
  </si>
  <si>
    <t>غپينو</t>
  </si>
  <si>
    <t>پارس‌ مينو</t>
  </si>
  <si>
    <t>خراسان</t>
  </si>
  <si>
    <t>پتروشيمي خراسان</t>
  </si>
  <si>
    <t>ضستا3005</t>
  </si>
  <si>
    <t>اختيارخ شستا-1100-1402/03/17</t>
  </si>
  <si>
    <t>ضخاور109</t>
  </si>
  <si>
    <t>اختيارخ خاور-3300-14020116</t>
  </si>
  <si>
    <t>طپلا4017</t>
  </si>
  <si>
    <t>اختيارف پالايش-160000-02/04/18</t>
  </si>
  <si>
    <t>تنوين</t>
  </si>
  <si>
    <t>تامين سرمايه نوين</t>
  </si>
  <si>
    <t>صندوق س.نوع دوم سام-د</t>
  </si>
  <si>
    <t>ضسپا3021</t>
  </si>
  <si>
    <t>اختيارخ خساپا-1700-1402/03/24</t>
  </si>
  <si>
    <t>وپخش</t>
  </si>
  <si>
    <t>داروپخش‌ (هلدينگ‌</t>
  </si>
  <si>
    <t>گوهر2</t>
  </si>
  <si>
    <t>اراد50</t>
  </si>
  <si>
    <t>مرابحه عام دولت5-ش.خ0302</t>
  </si>
  <si>
    <t>ومشان</t>
  </si>
  <si>
    <t>س. فني و مهندسي مشانير</t>
  </si>
  <si>
    <t>ثشرق</t>
  </si>
  <si>
    <t>سرمايه گذاري مسكن شمال شرق</t>
  </si>
  <si>
    <t>وبيمهح</t>
  </si>
  <si>
    <t>ح . سرمايه‌ گذاري‌ صنعت‌ بيمه‌</t>
  </si>
  <si>
    <t>سكه0412پ03</t>
  </si>
  <si>
    <t>تمام سكه طرح جديد0412 سامان</t>
  </si>
  <si>
    <t>ضسپا6007</t>
  </si>
  <si>
    <t>اختيارخ خساپا-2400-1402/06/14</t>
  </si>
  <si>
    <t>ضسپا3029</t>
  </si>
  <si>
    <t>اختيارخ خساپا-3000-1402/03/24</t>
  </si>
  <si>
    <t>ضسپا6000</t>
  </si>
  <si>
    <t>اختيارخ خساپا-1500-1402/06/14</t>
  </si>
  <si>
    <t>ضسپا6001</t>
  </si>
  <si>
    <t>اختيارخ خساپا-1600-1402/06/14</t>
  </si>
  <si>
    <t>ضسپا6004</t>
  </si>
  <si>
    <t>اختيارخ خساپا-1900-1402/06/14</t>
  </si>
  <si>
    <t>ضسپا6009</t>
  </si>
  <si>
    <t>اختيارخ خساپا-2800-1402/06/14</t>
  </si>
  <si>
    <t>ضسپا6010</t>
  </si>
  <si>
    <t>اختيارخ خساپا-3000-1402/06/14</t>
  </si>
  <si>
    <t>ضستا2017</t>
  </si>
  <si>
    <t>اختيارخ شستا-1400-1402/02/13</t>
  </si>
  <si>
    <t>خفنر</t>
  </si>
  <si>
    <t>فنرسازي‌خاور</t>
  </si>
  <si>
    <t>بتهران</t>
  </si>
  <si>
    <t>بيمه اتكايي تهران رواك50%تاديه</t>
  </si>
  <si>
    <t>وآذر</t>
  </si>
  <si>
    <t>سرمايه‌گذاري‌توسعه‌آذربايجان‌</t>
  </si>
  <si>
    <t>سمازن</t>
  </si>
  <si>
    <t>سيمان‌مازندران‌</t>
  </si>
  <si>
    <t>خكاوه</t>
  </si>
  <si>
    <t>سايپا ديزل</t>
  </si>
  <si>
    <t>عيار2</t>
  </si>
  <si>
    <t>واحيا</t>
  </si>
  <si>
    <t>م .صنايع و معادن احياء سپاهان</t>
  </si>
  <si>
    <t>وساخت</t>
  </si>
  <si>
    <t>سرمايه‌ گذاري‌ ساختمان‌ايران‌</t>
  </si>
  <si>
    <t>اراد404</t>
  </si>
  <si>
    <t>مرابحه عام دولت4-ش.خ 0207</t>
  </si>
  <si>
    <t>شلرد</t>
  </si>
  <si>
    <t>سفارود</t>
  </si>
  <si>
    <t>كارخانه فارسيت درود</t>
  </si>
  <si>
    <t>ومدير</t>
  </si>
  <si>
    <t>گ.مديريت ارزش سرمايه ص ب كشوري</t>
  </si>
  <si>
    <t>كارا2</t>
  </si>
  <si>
    <t>مثقال2</t>
  </si>
  <si>
    <t>كفپارس</t>
  </si>
  <si>
    <t>فرآورده‌هاي‌ نسوز پارس‌</t>
  </si>
  <si>
    <t>اخزا0024</t>
  </si>
  <si>
    <t>اخزا0084</t>
  </si>
  <si>
    <t>غدام</t>
  </si>
  <si>
    <t>خوراك‌  دام‌ پارس‌</t>
  </si>
  <si>
    <t>اراد1174</t>
  </si>
  <si>
    <t>مرابحه عام دولت117-ش.خ030406</t>
  </si>
  <si>
    <t>فبستم</t>
  </si>
  <si>
    <t>صنايع ‌بسته‌بندي‌ مشهد</t>
  </si>
  <si>
    <t>گپارس</t>
  </si>
  <si>
    <t>امور رفاهي كارگزاران پارس</t>
  </si>
  <si>
    <t>فافزا</t>
  </si>
  <si>
    <t>فولاد افزا سپاهان</t>
  </si>
  <si>
    <t>اراد1244</t>
  </si>
  <si>
    <t>مرابحه عام دولت124-ش.خ030202</t>
  </si>
  <si>
    <t>پرداخت الكترونيك سامان كيش</t>
  </si>
  <si>
    <t>اخزا0094</t>
  </si>
  <si>
    <t>وتوسم</t>
  </si>
  <si>
    <t>سرمايه‌گذاري‌توسعه‌ملي‌</t>
  </si>
  <si>
    <t>تكنوح</t>
  </si>
  <si>
    <t>ح . تكنوتار</t>
  </si>
  <si>
    <t>حفاري</t>
  </si>
  <si>
    <t>حفاري شمال</t>
  </si>
  <si>
    <t>اراد1024</t>
  </si>
  <si>
    <t>مرابحه عام دولت102-ش.خ031211</t>
  </si>
  <si>
    <t>اخزا0014</t>
  </si>
  <si>
    <t>اراد924</t>
  </si>
  <si>
    <t>مرابحه عام دولت92-ش.خ020825</t>
  </si>
  <si>
    <t>اراد1114</t>
  </si>
  <si>
    <t>مرابحه عام دولت111-ش.خ 021008</t>
  </si>
  <si>
    <t>ضبدر2041</t>
  </si>
  <si>
    <t>اختيارخ شبندر-12000-1402/02/10</t>
  </si>
  <si>
    <t>اراد344</t>
  </si>
  <si>
    <t>مرابحه عام دولت3-ش.خ 0305</t>
  </si>
  <si>
    <t>اراد1074</t>
  </si>
  <si>
    <t>طترا3029</t>
  </si>
  <si>
    <t>اختيارف شتران-6500-1402/03/28</t>
  </si>
  <si>
    <t>سپ</t>
  </si>
  <si>
    <t>اراد1124</t>
  </si>
  <si>
    <t>اراد314</t>
  </si>
  <si>
    <t>اخزا0074</t>
  </si>
  <si>
    <t>غالبر</t>
  </si>
  <si>
    <t>لبنيات‌ كالبر</t>
  </si>
  <si>
    <t>اراد214</t>
  </si>
  <si>
    <t>مرابحه عام دولت2ش.خ صادرات0212</t>
  </si>
  <si>
    <t>ناب</t>
  </si>
  <si>
    <t>صندوق س.پشتوانه طلا نهايت نگر</t>
  </si>
  <si>
    <t>ضخود3064</t>
  </si>
  <si>
    <t>اختيارخ خودرو-1900-1402/03/03</t>
  </si>
  <si>
    <t>دعبيد</t>
  </si>
  <si>
    <t>لابراتوارداروسازي‌  دكترعبيدي‌</t>
  </si>
  <si>
    <t>بازرگام</t>
  </si>
  <si>
    <t>پست پيشگامان بادپا</t>
  </si>
  <si>
    <t>اهرم2</t>
  </si>
  <si>
    <t>شخارك</t>
  </si>
  <si>
    <t>پتروشيمي‌ خارك‌</t>
  </si>
  <si>
    <t>خوساز</t>
  </si>
  <si>
    <t>محورسازان‌ايران‌خودرو</t>
  </si>
  <si>
    <t>كيسون</t>
  </si>
  <si>
    <t>شركت كيسون</t>
  </si>
  <si>
    <t>سصفها</t>
  </si>
  <si>
    <t>سيمان‌اصفهان‌</t>
  </si>
  <si>
    <t>وارس</t>
  </si>
  <si>
    <t>سرمايه گذاري ارس صبا</t>
  </si>
  <si>
    <t>ضستا0100</t>
  </si>
  <si>
    <t>اختيارخ شستا-600-1402/01/09</t>
  </si>
  <si>
    <t>وجامي</t>
  </si>
  <si>
    <t>سرمايه گذاري جامي</t>
  </si>
  <si>
    <t>ضحسير600</t>
  </si>
  <si>
    <t>اختيارخ حسير-7500-14020627</t>
  </si>
  <si>
    <t>اكسيژن2</t>
  </si>
  <si>
    <t>شبندر2</t>
  </si>
  <si>
    <t>افران2</t>
  </si>
  <si>
    <t>وتوسكا</t>
  </si>
  <si>
    <t>سرمايه گذاري توسعه توكا</t>
  </si>
  <si>
    <t>اوصتا4</t>
  </si>
  <si>
    <t>پالايش2</t>
  </si>
  <si>
    <t>اخزا0034</t>
  </si>
  <si>
    <t>آرام2</t>
  </si>
  <si>
    <t>بسويچ</t>
  </si>
  <si>
    <t>پارس‌سويچ‌</t>
  </si>
  <si>
    <t>غگلستا</t>
  </si>
  <si>
    <t>شير پاستوريزه پگاه گلستان</t>
  </si>
  <si>
    <t>ضصاد3030</t>
  </si>
  <si>
    <t>اختيارخ وبصادر-2800-1402/03/17</t>
  </si>
  <si>
    <t>ركيش</t>
  </si>
  <si>
    <t>كارت اعتباري ايران كيش</t>
  </si>
  <si>
    <t>درسا2</t>
  </si>
  <si>
    <t>وكغدير</t>
  </si>
  <si>
    <t>بين المللي توسعه ص. معادن غدير</t>
  </si>
  <si>
    <t>بكابل</t>
  </si>
  <si>
    <t>سيم و كابل ابهر</t>
  </si>
  <si>
    <t>هامرز2</t>
  </si>
  <si>
    <t>اعتلاح</t>
  </si>
  <si>
    <t>ح سرمايه گذاري اعتلاء البرز</t>
  </si>
  <si>
    <t>كاريز</t>
  </si>
  <si>
    <t>بيمه زندگي كاريزما50%تاديه</t>
  </si>
  <si>
    <t>ساروج</t>
  </si>
  <si>
    <t>بين المللي ساروج بوشهر</t>
  </si>
  <si>
    <t>دشيميح</t>
  </si>
  <si>
    <t>ح . شيمي‌ داروئي‌ داروپخش‌</t>
  </si>
  <si>
    <t>اخزا8212</t>
  </si>
  <si>
    <t>كوير</t>
  </si>
  <si>
    <t>توليدي فولاد سپيد فراب كوير</t>
  </si>
  <si>
    <t>تمشك2</t>
  </si>
  <si>
    <t>آگاس2</t>
  </si>
  <si>
    <t>دريا2</t>
  </si>
  <si>
    <t>فردا2</t>
  </si>
  <si>
    <t>سكارون</t>
  </si>
  <si>
    <t>سيمان كارون</t>
  </si>
  <si>
    <t>صندوق س. نوع دوم نيلي دماوند-د</t>
  </si>
  <si>
    <t>سام2</t>
  </si>
  <si>
    <t>توان2</t>
  </si>
  <si>
    <t>ضخود0102</t>
  </si>
  <si>
    <t>اختيارخ خودرو-1800-1402/01/09</t>
  </si>
  <si>
    <t>آكورد2</t>
  </si>
  <si>
    <t>ثامان</t>
  </si>
  <si>
    <t>سامان‌ گستراصفهان‌</t>
  </si>
  <si>
    <t>زفكا</t>
  </si>
  <si>
    <t>كشت و دامداري فكا</t>
  </si>
  <si>
    <t>كوثرح</t>
  </si>
  <si>
    <t>ح . بيمه كوثر</t>
  </si>
  <si>
    <t>اوج2</t>
  </si>
  <si>
    <t>كباده</t>
  </si>
  <si>
    <t>توليد خاك نسوزاستقلال آباده</t>
  </si>
  <si>
    <t>كيان2</t>
  </si>
  <si>
    <t>كگهر2</t>
  </si>
  <si>
    <t>اگ020155</t>
  </si>
  <si>
    <t xml:space="preserve">گام بانك اقتصاد نوين0201	</t>
  </si>
  <si>
    <t>فردا4</t>
  </si>
  <si>
    <t>دبالك</t>
  </si>
  <si>
    <t>مواد اوليه دارويي البرز بالك</t>
  </si>
  <si>
    <t>ثبات2</t>
  </si>
  <si>
    <t>ضملي7025</t>
  </si>
  <si>
    <t>اختيارخ فملي-3667-1402/07/05</t>
  </si>
  <si>
    <t>ضملي3026</t>
  </si>
  <si>
    <t>اختيارخ فملي-7333-1402/03/07</t>
  </si>
  <si>
    <t>ضشنا2025</t>
  </si>
  <si>
    <t>اختيارخ شپنا-5859-1402/02/24</t>
  </si>
  <si>
    <t>ضشنا2026</t>
  </si>
  <si>
    <t>اختيارخ شپنا-6277-1402/02/24</t>
  </si>
  <si>
    <t>ضشنا2027</t>
  </si>
  <si>
    <t>اختيارخ شپنا-6696-1402/02/24</t>
  </si>
  <si>
    <t>ضشنا2028</t>
  </si>
  <si>
    <t>اختيارخ شپنا-7533-1402/02/24</t>
  </si>
  <si>
    <t>ضشنا2029</t>
  </si>
  <si>
    <t>اختيارخ شپنا-8370-1402/02/24</t>
  </si>
  <si>
    <t>ضستا3000</t>
  </si>
  <si>
    <t>اختيارخ شستا-600-1402/03/17</t>
  </si>
  <si>
    <t>طهرم7008</t>
  </si>
  <si>
    <t>اختيارف اهرم-13000-1402/07/23</t>
  </si>
  <si>
    <t>طهاي3001</t>
  </si>
  <si>
    <t>اختيارف هاي وب-2030-1402/03/03</t>
  </si>
  <si>
    <t>پالايش نفت اصفهان</t>
  </si>
  <si>
    <t>اخزا8202</t>
  </si>
  <si>
    <t>تاراز2</t>
  </si>
  <si>
    <t>آفاق2</t>
  </si>
  <si>
    <t>اخزا9112</t>
  </si>
  <si>
    <t>اخزا1034</t>
  </si>
  <si>
    <t>كيان4</t>
  </si>
  <si>
    <t>كامياب2</t>
  </si>
  <si>
    <t>شملي</t>
  </si>
  <si>
    <t>ملي شيمي كشاورز</t>
  </si>
  <si>
    <t>انتخاب</t>
  </si>
  <si>
    <t>گروه انتخاب الكترونيك آرمان</t>
  </si>
  <si>
    <t>سجام</t>
  </si>
  <si>
    <t>مجتمع سيمان غرب آسيا</t>
  </si>
  <si>
    <t>رايكا2</t>
  </si>
  <si>
    <t>سپيدما4</t>
  </si>
  <si>
    <t>غاذر</t>
  </si>
  <si>
    <t>كشت‌وصنعت‌پياذر</t>
  </si>
  <si>
    <t>اخزا0104</t>
  </si>
  <si>
    <t>ضملي7020</t>
  </si>
  <si>
    <t>اختيارخ فملي-2333-1402/07/05</t>
  </si>
  <si>
    <t>غگرجي</t>
  </si>
  <si>
    <t>بيسكويت‌  گرجي‌</t>
  </si>
  <si>
    <t>طشنا2027</t>
  </si>
  <si>
    <t>اختيارف شپنا-6696-1402/02/24</t>
  </si>
  <si>
    <t>ضملي7024</t>
  </si>
  <si>
    <t>اختيارخ فملي-3333-1402/07/05</t>
  </si>
  <si>
    <t>افران4</t>
  </si>
  <si>
    <t>ضستا1209</t>
  </si>
  <si>
    <t>اختيارخ شستا-700-1402/12/09</t>
  </si>
  <si>
    <t>فيروزا4</t>
  </si>
  <si>
    <t>شپنا</t>
  </si>
  <si>
    <t>طشنا2028</t>
  </si>
  <si>
    <t>اختيارف شپنا-7533-1402/02/24</t>
  </si>
  <si>
    <t>ثقزوي</t>
  </si>
  <si>
    <t>شركت عمران و سازندگي قزوين</t>
  </si>
  <si>
    <t>نيلي</t>
  </si>
  <si>
    <t>غشان</t>
  </si>
  <si>
    <t>شيرپاستوريزه‌پگاه‌خراسان‌</t>
  </si>
  <si>
    <t>لوتوس</t>
  </si>
  <si>
    <t>تامين سرمايه لوتوس پارسيان</t>
  </si>
  <si>
    <t>نخو0202پ01</t>
  </si>
  <si>
    <t>نخود متوسط0202شيري(پ)</t>
  </si>
  <si>
    <t>ضدي203</t>
  </si>
  <si>
    <t>اختيارخ دي-600-14020217</t>
  </si>
  <si>
    <t>ضدي206</t>
  </si>
  <si>
    <t>اختيارخ دي-750-14020217</t>
  </si>
  <si>
    <t>ضدي207</t>
  </si>
  <si>
    <t>اختيارخ دي-800-14020217</t>
  </si>
  <si>
    <t>ضدي208</t>
  </si>
  <si>
    <t>اختيارخ دي-850-14020217</t>
  </si>
  <si>
    <t>ضدي209</t>
  </si>
  <si>
    <t>اختيارخ دي-900-14020217</t>
  </si>
  <si>
    <t>ضدي210</t>
  </si>
  <si>
    <t>اختيارخ دي-950-14020217</t>
  </si>
  <si>
    <t>ضدي211</t>
  </si>
  <si>
    <t>اختيارخ دي-1000-14020217</t>
  </si>
  <si>
    <t>ضكاريس208</t>
  </si>
  <si>
    <t>اختيارخ كاريس-19000-14020205</t>
  </si>
  <si>
    <t>ضكاريس209</t>
  </si>
  <si>
    <t>اختيارخ كاريس-20000-14020205</t>
  </si>
  <si>
    <t>طملي3022</t>
  </si>
  <si>
    <t>اختيارف فملي-5000-1402/03/07</t>
  </si>
  <si>
    <t>طشنا2025</t>
  </si>
  <si>
    <t>اختيارف شپنا-5859-1402/02/24</t>
  </si>
  <si>
    <t>سنوين</t>
  </si>
  <si>
    <t>سرمايه گذاري اقتصاد نوين</t>
  </si>
  <si>
    <t>آفاق4</t>
  </si>
  <si>
    <t>سمگا2</t>
  </si>
  <si>
    <t>ومهان</t>
  </si>
  <si>
    <t>گروه توسعه مالي مهرآيندگان</t>
  </si>
  <si>
    <t>كيميا</t>
  </si>
  <si>
    <t>ص. معدني كيمياي زنجان گستران</t>
  </si>
  <si>
    <t>همراه</t>
  </si>
  <si>
    <t>شركت ارتباطات سيار ايران</t>
  </si>
  <si>
    <t>كمند2</t>
  </si>
  <si>
    <t>وغدير2</t>
  </si>
  <si>
    <t>اخزا9142</t>
  </si>
  <si>
    <t>صخود0412</t>
  </si>
  <si>
    <t>ص مرابحه خودرو041- 3ماهه 18%</t>
  </si>
  <si>
    <t>سرچشمه</t>
  </si>
  <si>
    <t>سرمايه گذاري مس سرچشمه</t>
  </si>
  <si>
    <t>فولاد</t>
  </si>
  <si>
    <t>فولاد مباركه اصفهان</t>
  </si>
  <si>
    <t>اراد1274</t>
  </si>
  <si>
    <t>مرابحه عام دولت127-ش.خ040623</t>
  </si>
  <si>
    <t>پارس2</t>
  </si>
  <si>
    <t>كاج4</t>
  </si>
  <si>
    <t>آرين سلامت06</t>
  </si>
  <si>
    <t>مرابحه آرين سلامت سينا061227</t>
  </si>
  <si>
    <t>هرمز</t>
  </si>
  <si>
    <t>فولاد هرمزگان جنوب</t>
  </si>
  <si>
    <t>وبملت2</t>
  </si>
  <si>
    <t>زعف0210پ252</t>
  </si>
  <si>
    <t>ونوين2</t>
  </si>
  <si>
    <t>شيران</t>
  </si>
  <si>
    <t>س. صنايع‌شيميايي‌ايران</t>
  </si>
  <si>
    <t>فولاد2</t>
  </si>
  <si>
    <t>فزر</t>
  </si>
  <si>
    <t>پويا زركان آق دره</t>
  </si>
  <si>
    <t>نفيس2</t>
  </si>
  <si>
    <t>خشرق</t>
  </si>
  <si>
    <t>الكتريك‌ خودرو شرق‌</t>
  </si>
  <si>
    <t>ياقوت2</t>
  </si>
  <si>
    <t>گام020756</t>
  </si>
  <si>
    <t>گواهي اعتبار مولد سامان0207</t>
  </si>
  <si>
    <t>فارس2</t>
  </si>
  <si>
    <t>وهور</t>
  </si>
  <si>
    <t>مديريت انرژي اميد  تابان هور</t>
  </si>
  <si>
    <t>زفكا2</t>
  </si>
  <si>
    <t>كارين4</t>
  </si>
  <si>
    <t>شستا2</t>
  </si>
  <si>
    <t>تصميم2</t>
  </si>
  <si>
    <t>اگ020619</t>
  </si>
  <si>
    <t>گام بانك صادرات ايران0206</t>
  </si>
  <si>
    <t>ضجار2028</t>
  </si>
  <si>
    <t>اختيارخ وتجارت-2200-1402/02/20</t>
  </si>
  <si>
    <t>اراد116</t>
  </si>
  <si>
    <t xml:space="preserve">مرابحه عام دولت116-ش.خ060630	</t>
  </si>
  <si>
    <t>ضهرم1218</t>
  </si>
  <si>
    <t>اختيارخ اهرم-12000-1402/12/23</t>
  </si>
  <si>
    <t>ضفلا7034</t>
  </si>
  <si>
    <t>اختيارخ فولاد-7288-1402/07/26</t>
  </si>
  <si>
    <t>عقيق2</t>
  </si>
  <si>
    <t>سخند4</t>
  </si>
  <si>
    <t>طستا0106</t>
  </si>
  <si>
    <t>اختيارف شستا-1200-1402/01/09</t>
  </si>
  <si>
    <t>افق2</t>
  </si>
  <si>
    <t>وسبحان2</t>
  </si>
  <si>
    <t>ضجار2024</t>
  </si>
  <si>
    <t>اختيارخ وتجارت-1700-1402/02/20</t>
  </si>
  <si>
    <t>مبين063</t>
  </si>
  <si>
    <t>اجاره اعتماد مبين تاك14061227</t>
  </si>
  <si>
    <t>رايكا4</t>
  </si>
  <si>
    <t>ضدي202</t>
  </si>
  <si>
    <t>اختيارخ دي-550-14020217</t>
  </si>
  <si>
    <t>ضملي3022</t>
  </si>
  <si>
    <t>اختيارخ فملي-5000-1402/03/07</t>
  </si>
  <si>
    <t>ولانا</t>
  </si>
  <si>
    <t>شركت ليزينگ آريا دانا</t>
  </si>
  <si>
    <t>سامانح</t>
  </si>
  <si>
    <t>ح. بانك سامان</t>
  </si>
  <si>
    <t>وپاسار</t>
  </si>
  <si>
    <t>بانك  پاسارگاد</t>
  </si>
  <si>
    <t>ضترو4001</t>
  </si>
  <si>
    <t>اختيارخ ص آگاه-7500-02/04/14</t>
  </si>
  <si>
    <t>ضترو4000</t>
  </si>
  <si>
    <t>اختيارخ ص آگاه-7000-02/04/14</t>
  </si>
  <si>
    <t>فراز2</t>
  </si>
  <si>
    <t>ضجار2026</t>
  </si>
  <si>
    <t>اختيارخ وتجارت-1900-1402/02/20</t>
  </si>
  <si>
    <t>فردا موتور05</t>
  </si>
  <si>
    <t>مرابحه اتومبيل سازي فردا051224</t>
  </si>
  <si>
    <t>ثبات4</t>
  </si>
  <si>
    <t>قشرين</t>
  </si>
  <si>
    <t>قند شيرين خراسان</t>
  </si>
  <si>
    <t>ضخاور105</t>
  </si>
  <si>
    <t>اختيارخ خاور-2500-14020116</t>
  </si>
  <si>
    <t>ضهرم1226</t>
  </si>
  <si>
    <t>اختيارخ اهرم-24000-1402/12/23</t>
  </si>
  <si>
    <t>صنم2</t>
  </si>
  <si>
    <t>دي</t>
  </si>
  <si>
    <t>بانك دي</t>
  </si>
  <si>
    <t>ضجار2021</t>
  </si>
  <si>
    <t>اختيارخ وتجارت-1400-1402/02/20</t>
  </si>
  <si>
    <t>ضملي7030</t>
  </si>
  <si>
    <t>اختيارخ فملي-5333-1402/07/05</t>
  </si>
  <si>
    <t>فن آوا</t>
  </si>
  <si>
    <t>گروه فن آوا</t>
  </si>
  <si>
    <t>كمند4</t>
  </si>
  <si>
    <t>ضخود0100</t>
  </si>
  <si>
    <t>اختيارخ خودرو-1600-1402/01/09</t>
  </si>
  <si>
    <t>ضخود3063</t>
  </si>
  <si>
    <t>اختيارخ خودرو-1800-1402/03/03</t>
  </si>
  <si>
    <t>ضچكا4001</t>
  </si>
  <si>
    <t>اختيارخ چكاپا-2260-1402/04/04</t>
  </si>
  <si>
    <t>ضچكا4007</t>
  </si>
  <si>
    <t>اختيارخ چكاپا-3610-1402/04/04</t>
  </si>
  <si>
    <t>ضچكا4008</t>
  </si>
  <si>
    <t>اختيارخ چكاپا-3860-1402/04/04</t>
  </si>
  <si>
    <t>ضچكا4009</t>
  </si>
  <si>
    <t>اختيارخ چكاپا-4360-1402/04/04</t>
  </si>
  <si>
    <t>ضملي7021</t>
  </si>
  <si>
    <t>اختيارخ فملي-2500-1402/07/05</t>
  </si>
  <si>
    <t>ضملي3025</t>
  </si>
  <si>
    <t>اختيارخ فملي-6667-1402/03/07</t>
  </si>
  <si>
    <t>ضملي7035</t>
  </si>
  <si>
    <t>اختيارخ فملي-8667-1402/07/05</t>
  </si>
  <si>
    <t>ضشنا2030</t>
  </si>
  <si>
    <t>اختيارخ شپنا-9207-1402/02/24</t>
  </si>
  <si>
    <t>ويسا</t>
  </si>
  <si>
    <t>سرمايه گذاري ايساتيس پويا</t>
  </si>
  <si>
    <t>سيدكو2</t>
  </si>
  <si>
    <t>واميد2</t>
  </si>
  <si>
    <t>فاسمين</t>
  </si>
  <si>
    <t>كالسيمين‌</t>
  </si>
  <si>
    <t>پلاست</t>
  </si>
  <si>
    <t>كارخانجات توليدي پلاستيران</t>
  </si>
  <si>
    <t>دسانكو</t>
  </si>
  <si>
    <t>داروسازي سبحان انكولوژي</t>
  </si>
  <si>
    <t>خزر</t>
  </si>
  <si>
    <t>فنرسازي‌زر</t>
  </si>
  <si>
    <t>شغدير2</t>
  </si>
  <si>
    <t>اراد90</t>
  </si>
  <si>
    <t>مرابحه عام دولت90-ش.خ050217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</si>
</sst>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u/>
      <sz val="11"/>
      <color theme="3" tint="-0.49998474074526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44" fontId="4" fillId="0" borderId="0" applyFont="0" applyFill="0" applyBorder="0" applyAlignment="0" applyProtection="0"/>
  </cellStyleXfs>
  <cellXfs count="50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37" fontId="3" fillId="0" borderId="1" xfId="1" applyNumberFormat="1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0" fontId="3" fillId="0" borderId="5" xfId="0" applyFont="1" applyBorder="1" applyAlignment="1">
      <alignment horizontal="center"/>
    </xf>
    <xf numFmtId="0" fontId="5" fillId="0" borderId="3" xfId="3" applyFont="1" applyBorder="1" applyAlignment="1">
      <alignment horizontal="center"/>
    </xf>
    <xf numFmtId="0" fontId="5" fillId="0" borderId="1" xfId="3" applyFont="1" applyBorder="1" applyAlignment="1">
      <alignment horizontal="center"/>
    </xf>
    <xf numFmtId="38" fontId="6" fillId="0" borderId="0" xfId="0" applyNumberFormat="1" applyFont="1" applyAlignment="1">
      <alignment horizontal="center"/>
    </xf>
    <xf numFmtId="164" fontId="0" fillId="0" borderId="0" xfId="1" applyNumberFormat="1" applyFont="1"/>
    <xf numFmtId="44" fontId="0" fillId="0" borderId="0" xfId="4" applyFont="1" applyAlignment="1">
      <alignment horizontal="left" vertical="center"/>
    </xf>
    <xf numFmtId="44" fontId="0" fillId="0" borderId="0" xfId="4" applyFont="1" applyAlignment="1">
      <alignment horizontal="center"/>
    </xf>
    <xf numFmtId="3" fontId="3" fillId="0" borderId="4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4" fontId="0" fillId="0" borderId="0" xfId="0" applyNumberFormat="1"/>
    <xf numFmtId="0" fontId="8" fillId="0" borderId="0" xfId="0" applyFont="1"/>
    <xf numFmtId="10" fontId="3" fillId="0" borderId="5" xfId="0" applyNumberFormat="1" applyFont="1" applyBorder="1" applyAlignment="1">
      <alignment horizontal="center"/>
    </xf>
    <xf numFmtId="43" fontId="9" fillId="0" borderId="0" xfId="1" applyFont="1"/>
    <xf numFmtId="43" fontId="9" fillId="0" borderId="0" xfId="1" applyFont="1" applyAlignment="1">
      <alignment horizontal="left"/>
    </xf>
    <xf numFmtId="37" fontId="8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5" fillId="0" borderId="0" xfId="3" applyFont="1" applyAlignment="1">
      <alignment horizontal="center"/>
    </xf>
    <xf numFmtId="44" fontId="0" fillId="0" borderId="0" xfId="4" applyFont="1" applyAlignment="1">
      <alignment vertical="center"/>
    </xf>
    <xf numFmtId="0" fontId="3" fillId="3" borderId="5" xfId="0" applyFont="1" applyFill="1" applyBorder="1" applyAlignment="1">
      <alignment horizontal="center"/>
    </xf>
    <xf numFmtId="0" fontId="5" fillId="3" borderId="0" xfId="3" applyFont="1" applyFill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1" xfId="0" applyNumberFormat="1" applyFont="1" applyFill="1" applyBorder="1" applyAlignment="1">
      <alignment horizontal="center"/>
    </xf>
    <xf numFmtId="9" fontId="0" fillId="3" borderId="3" xfId="2" applyFont="1" applyFill="1" applyBorder="1"/>
    <xf numFmtId="0" fontId="3" fillId="3" borderId="0" xfId="0" applyFont="1" applyFill="1" applyAlignment="1">
      <alignment horizontal="center"/>
    </xf>
    <xf numFmtId="0" fontId="3" fillId="0" borderId="3" xfId="0" applyFont="1" applyBorder="1" applyAlignment="1">
      <alignment horizontal="center"/>
    </xf>
    <xf numFmtId="9" fontId="0" fillId="0" borderId="0" xfId="0" applyNumberFormat="1"/>
    <xf numFmtId="164" fontId="7" fillId="0" borderId="0" xfId="1" applyNumberFormat="1" applyFont="1"/>
    <xf numFmtId="0" fontId="2" fillId="0" borderId="0" xfId="0" applyFont="1" applyAlignment="1">
      <alignment horizontal="center"/>
    </xf>
    <xf numFmtId="3" fontId="3" fillId="0" borderId="5" xfId="0" applyNumberFormat="1" applyFont="1" applyBorder="1" applyAlignment="1">
      <alignment horizontal="center"/>
    </xf>
    <xf numFmtId="10" fontId="0" fillId="0" borderId="3" xfId="0" applyNumberFormat="1" applyBorder="1" applyAlignment="1">
      <alignment horizontal="left"/>
    </xf>
    <xf numFmtId="10" fontId="0" fillId="0" borderId="3" xfId="2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0" fontId="7" fillId="0" borderId="0" xfId="0" applyFont="1"/>
    <xf numFmtId="164" fontId="7" fillId="0" borderId="0" xfId="1" applyNumberFormat="1" applyFont="1" applyBorder="1" applyAlignment="1">
      <alignment horizontal="center"/>
    </xf>
    <xf numFmtId="0" fontId="5" fillId="0" borderId="6" xfId="3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37" fontId="10" fillId="4" borderId="1" xfId="1" applyNumberFormat="1" applyFont="1" applyFill="1" applyBorder="1" applyAlignment="1">
      <alignment horizontal="left"/>
    </xf>
    <xf numFmtId="3" fontId="10" fillId="4" borderId="1" xfId="0" applyNumberFormat="1" applyFont="1" applyFill="1" applyBorder="1" applyAlignment="1">
      <alignment horizontal="left"/>
    </xf>
  </cellXfs>
  <cellStyles count="5">
    <cellStyle name="Comma" xfId="1" builtinId="3"/>
    <cellStyle name="Currency" xfId="4" builtinId="4"/>
    <cellStyle name="Normal" xfId="0" builtinId="0"/>
    <cellStyle name="Normal 2" xfId="3" xr:uid="{79B50F1A-DB02-4FBC-B7AD-DB3575BD6E42}"/>
    <cellStyle name="Percent" xfId="2" builtinId="5"/>
  </cellStyles>
  <dxfs count="1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color theme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203864"/>
      <color rgb="FFB4C7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IQ" sz="1800" b="1" i="0" u="none" strike="noStrike" baseline="0">
                <a:solidFill>
                  <a:srgbClr val="FFFF00"/>
                </a:solidFill>
                <a:effectLst/>
              </a:rPr>
              <a:t>درصد از کل</a:t>
            </a:r>
            <a:r>
              <a:rPr lang="ar-IQ" sz="1800" b="1" i="0" u="none" strike="noStrike" baseline="0">
                <a:solidFill>
                  <a:srgbClr val="FFFF00"/>
                </a:solidFill>
              </a:rPr>
              <a:t> </a:t>
            </a:r>
            <a:endParaRPr lang="en-US">
              <a:solidFill>
                <a:srgbClr val="FFFF00"/>
              </a:solidFill>
            </a:endParaRPr>
          </a:p>
        </c:rich>
      </c:tx>
      <c:layout>
        <c:manualLayout>
          <c:xMode val="edge"/>
          <c:yMode val="edge"/>
          <c:x val="0.71314027750646281"/>
          <c:y val="1.83333317293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7C-41B5-B23A-5A0158687D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57C-41B5-B23A-5A0158687D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7C-41B5-B23A-5A0158687D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57C-41B5-B23A-5A0158687D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7C-41B5-B23A-5A0158687D1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57C-41B5-B23A-5A0158687D1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57C-41B5-B23A-5A0158687D1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757C-41B5-B23A-5A0158687D1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A3F-468A-9FE7-C25D692001E4}"/>
              </c:ext>
            </c:extLst>
          </c:dPt>
          <c:dLbls>
            <c:dLbl>
              <c:idx val="0"/>
              <c:layout>
                <c:manualLayout>
                  <c:x val="3.2101032771200473E-2"/>
                  <c:y val="-0.22995098600603797"/>
                </c:manualLayout>
              </c:layout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466620657990608"/>
                      <c:h val="0.185821549796889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57C-41B5-B23A-5A0158687D1A}"/>
                </c:ext>
              </c:extLst>
            </c:dLbl>
            <c:dLbl>
              <c:idx val="1"/>
              <c:layout>
                <c:manualLayout>
                  <c:x val="0.1742712511440839"/>
                  <c:y val="-7.66345058582925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7C-41B5-B23A-5A0158687D1A}"/>
                </c:ext>
              </c:extLst>
            </c:dLbl>
            <c:dLbl>
              <c:idx val="2"/>
              <c:layout>
                <c:manualLayout>
                  <c:x val="0.19169837625849229"/>
                  <c:y val="7.594303402544726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7C-41B5-B23A-5A0158687D1A}"/>
                </c:ext>
              </c:extLst>
            </c:dLbl>
            <c:dLbl>
              <c:idx val="3"/>
              <c:layout>
                <c:manualLayout>
                  <c:x val="-0.162552169703572"/>
                  <c:y val="-0.2152145481002145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7C-41B5-B23A-5A0158687D1A}"/>
                </c:ext>
              </c:extLst>
            </c:dLbl>
            <c:dLbl>
              <c:idx val="4"/>
              <c:layout>
                <c:manualLayout>
                  <c:x val="-0.30237873396738796"/>
                  <c:y val="-3.521603932527473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7C-41B5-B23A-5A0158687D1A}"/>
                </c:ext>
              </c:extLst>
            </c:dLbl>
            <c:dLbl>
              <c:idx val="5"/>
              <c:layout>
                <c:manualLayout>
                  <c:x val="-0.21454382784744816"/>
                  <c:y val="6.484458188009374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7C-41B5-B23A-5A0158687D1A}"/>
                </c:ext>
              </c:extLst>
            </c:dLbl>
            <c:dLbl>
              <c:idx val="6"/>
              <c:layout>
                <c:manualLayout>
                  <c:x val="-0.17287241560537303"/>
                  <c:y val="-6.95104513011638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7C-41B5-B23A-5A0158687D1A}"/>
                </c:ext>
              </c:extLst>
            </c:dLbl>
            <c:dLbl>
              <c:idx val="7"/>
              <c:layout>
                <c:manualLayout>
                  <c:x val="-0.15335870100679383"/>
                  <c:y val="-0.2313054240120601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7C-41B5-B23A-5A0158687D1A}"/>
                </c:ext>
              </c:extLst>
            </c:dLbl>
            <c:dLbl>
              <c:idx val="8"/>
              <c:layout>
                <c:manualLayout>
                  <c:x val="6.9708500457632923E-3"/>
                  <c:y val="0.2123720948166455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A3F-468A-9FE7-C25D692001E4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ME!$T$4:$T$7</c:f>
              <c:strCache>
                <c:ptCount val="4"/>
                <c:pt idx="0">
                  <c:v>وكغدير</c:v>
                </c:pt>
                <c:pt idx="1">
                  <c:v>شبندر</c:v>
                </c:pt>
                <c:pt idx="2">
                  <c:v>عيار</c:v>
                </c:pt>
                <c:pt idx="3">
                  <c:v>اطلس</c:v>
                </c:pt>
              </c:strCache>
            </c:strRef>
          </c:cat>
          <c:val>
            <c:numRef>
              <c:f>ME!$S$4:$S$7</c:f>
              <c:numCache>
                <c:formatCode>0.00%</c:formatCode>
                <c:ptCount val="4"/>
                <c:pt idx="0">
                  <c:v>0.10133836728234576</c:v>
                </c:pt>
                <c:pt idx="1">
                  <c:v>0.52091575671255996</c:v>
                </c:pt>
                <c:pt idx="2">
                  <c:v>0</c:v>
                </c:pt>
                <c:pt idx="3">
                  <c:v>0.37774587600509424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C-41B5-B23A-5A0158687D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ln>
                <a:solidFill>
                  <a:schemeClr val="bg1"/>
                </a:solidFill>
              </a:ln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&#1583;&#1740;&#1583;&#1607; &#1576;&#1575;&#1606; &#1576;&#1575;&#1586;&#1575;&#1585;'!A1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563880</xdr:colOff>
      <xdr:row>1</xdr:row>
      <xdr:rowOff>22860</xdr:rowOff>
    </xdr:from>
    <xdr:to>
      <xdr:col>16</xdr:col>
      <xdr:colOff>213360</xdr:colOff>
      <xdr:row>10</xdr:row>
      <xdr:rowOff>38100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BC8A32-2851-1E8B-C600-EDFA2AB234E2}"/>
            </a:ext>
          </a:extLst>
        </xdr:cNvPr>
        <xdr:cNvGrpSpPr/>
      </xdr:nvGrpSpPr>
      <xdr:grpSpPr>
        <a:xfrm>
          <a:off x="9977719440" y="205740"/>
          <a:ext cx="2697480" cy="1661160"/>
          <a:chOff x="9977948040" y="251460"/>
          <a:chExt cx="2697480" cy="1661160"/>
        </a:xfrm>
      </xdr:grpSpPr>
      <xdr:sp macro="[0]!Sheet1.RefreshPivotTable" textlink="">
        <xdr:nvSpPr>
          <xdr:cNvPr id="3" name="Oval 2">
            <a:extLst>
              <a:ext uri="{FF2B5EF4-FFF2-40B4-BE49-F238E27FC236}">
                <a16:creationId xmlns:a16="http://schemas.microsoft.com/office/drawing/2014/main" id="{CCFE793B-95EA-7B3B-9AF6-48EB131F7300}"/>
              </a:ext>
            </a:extLst>
          </xdr:cNvPr>
          <xdr:cNvSpPr/>
        </xdr:nvSpPr>
        <xdr:spPr>
          <a:xfrm>
            <a:off x="9977948040" y="251460"/>
            <a:ext cx="2697480" cy="166116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glow rad="63500">
              <a:schemeClr val="accent2">
                <a:satMod val="175000"/>
                <a:alpha val="40000"/>
              </a:schemeClr>
            </a:glow>
            <a:outerShdw blurRad="225425" dist="50800" dir="5220000" algn="ctr">
              <a:srgbClr val="000000">
                <a:alpha val="33000"/>
              </a:srgbClr>
            </a:outerShdw>
          </a:effectLst>
          <a:scene3d>
            <a:camera prst="perspectiveFront" fov="3300000">
              <a:rot lat="486000" lon="19530000" rev="174000"/>
            </a:camera>
            <a:lightRig rig="harsh" dir="t">
              <a:rot lat="0" lon="0" rev="3000000"/>
            </a:lightRig>
          </a:scene3d>
          <a:sp3d extrusionH="254000" contourW="19050">
            <a:bevelT w="82550" h="44450" prst="angle"/>
            <a:bevelB w="82550" h="44450" prst="angle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en-US" sz="3600">
                <a:solidFill>
                  <a:srgbClr val="7030A0"/>
                </a:solidFill>
              </a:rPr>
              <a:t>Refresh</a:t>
            </a:r>
          </a:p>
        </xdr:txBody>
      </xdr:sp>
      <xdr:pic macro="[0]!Sheet1.RefreshPivotTable">
        <xdr:nvPicPr>
          <xdr:cNvPr id="5" name="Graphic 4" descr="Line arrow: Rotate right with solid fill">
            <a:extLst>
              <a:ext uri="{FF2B5EF4-FFF2-40B4-BE49-F238E27FC236}">
                <a16:creationId xmlns:a16="http://schemas.microsoft.com/office/drawing/2014/main" id="{7516EA87-E15D-DDB9-0553-96E5BEF9AF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10800000">
            <a:off x="9979037700" y="1211580"/>
            <a:ext cx="548640" cy="54864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20786</xdr:colOff>
      <xdr:row>1</xdr:row>
      <xdr:rowOff>117764</xdr:rowOff>
    </xdr:from>
    <xdr:to>
      <xdr:col>17</xdr:col>
      <xdr:colOff>214746</xdr:colOff>
      <xdr:row>3</xdr:row>
      <xdr:rowOff>0</xdr:rowOff>
    </xdr:to>
    <xdr:sp macro="" textlink="">
      <xdr:nvSpPr>
        <xdr:cNvPr id="2" name="Arrow: Pentagon 1">
          <a:extLst>
            <a:ext uri="{FF2B5EF4-FFF2-40B4-BE49-F238E27FC236}">
              <a16:creationId xmlns:a16="http://schemas.microsoft.com/office/drawing/2014/main" id="{994D7878-CE70-494D-A024-F4AB13C9DD78}"/>
            </a:ext>
          </a:extLst>
        </xdr:cNvPr>
        <xdr:cNvSpPr/>
      </xdr:nvSpPr>
      <xdr:spPr>
        <a:xfrm>
          <a:off x="9977718054" y="346364"/>
          <a:ext cx="1094506" cy="311727"/>
        </a:xfrm>
        <a:prstGeom prst="homePlate">
          <a:avLst/>
        </a:prstGeom>
        <a:solidFill>
          <a:srgbClr val="B4C7E7">
            <a:alpha val="56078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solidFill>
                <a:srgbClr val="FF0000"/>
              </a:solidFill>
            </a:rPr>
            <a:t>STOCK</a:t>
          </a:r>
          <a:endParaRPr lang="en-US" sz="400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27710</xdr:colOff>
      <xdr:row>7</xdr:row>
      <xdr:rowOff>90055</xdr:rowOff>
    </xdr:from>
    <xdr:to>
      <xdr:col>14</xdr:col>
      <xdr:colOff>942110</xdr:colOff>
      <xdr:row>18</xdr:row>
      <xdr:rowOff>90055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0C6681-E623-204A-47BA-7605E7BD89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62346</xdr:colOff>
      <xdr:row>15</xdr:row>
      <xdr:rowOff>110836</xdr:rowOff>
    </xdr:from>
    <xdr:to>
      <xdr:col>9</xdr:col>
      <xdr:colOff>748146</xdr:colOff>
      <xdr:row>19</xdr:row>
      <xdr:rowOff>79663</xdr:rowOff>
    </xdr:to>
    <xdr:sp macro="" textlink="">
      <xdr:nvSpPr>
        <xdr:cNvPr id="7" name="Explosion: 14 Point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1FADA6-010A-4A1F-A60A-B56DE52F72BA}"/>
            </a:ext>
          </a:extLst>
        </xdr:cNvPr>
        <xdr:cNvSpPr/>
      </xdr:nvSpPr>
      <xdr:spPr>
        <a:xfrm>
          <a:off x="9983426127" y="3803072"/>
          <a:ext cx="1745673" cy="689264"/>
        </a:xfrm>
        <a:prstGeom prst="irregularSeal2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1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898040-CD01-4E2D-BAF0-69AC73B8E489}" autoFormatId="16" applyNumberFormats="0" applyBorderFormats="0" applyFontFormats="0" applyPatternFormats="0" applyAlignmentFormats="0" applyWidthHeightFormats="0">
  <queryTableRefresh nextId="13">
    <queryTableFields count="11">
      <queryTableField id="1" name="نماد" tableColumnId="1"/>
      <queryTableField id="2" name="نام" tableColumnId="2"/>
      <queryTableField id="3" name="تعداد" tableColumnId="3"/>
      <queryTableField id="4" name="حجم" tableColumnId="4"/>
      <queryTableField id="5" name="ارزش" tableColumnId="5"/>
      <queryTableField id="6" name="دیروز" tableColumnId="6"/>
      <queryTableField id="7" name="اولین" tableColumnId="7"/>
      <queryTableField id="8" name="قیمت پایانی - مقدار" tableColumnId="8"/>
      <queryTableField id="9" name="قیمت پایانی - درصد" tableColumnId="9"/>
      <queryTableField id="10" name="کمترین" tableColumnId="10"/>
      <queryTableField id="11" name="بیشترین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BB113-5A47-4552-8E48-D13691A56AA0}" name="دیده_بان_بازار" displayName="دیده_بان_بازار" ref="A1:K983" tableType="queryTable" totalsRowShown="0" headerRowDxfId="11">
  <autoFilter ref="A1:K983" xr:uid="{9B12BB0E-8771-40DF-9A8E-184B61ACB0BE}"/>
  <sortState xmlns:xlrd2="http://schemas.microsoft.com/office/spreadsheetml/2017/richdata2" ref="A2:K983">
    <sortCondition ref="A1:A983"/>
  </sortState>
  <tableColumns count="11">
    <tableColumn id="1" xr3:uid="{225B9CA3-10B0-46A7-A248-899A06CF17D7}" uniqueName="1" name="نماد" queryTableFieldId="1" dataDxfId="10" dataCellStyle="Normal 2"/>
    <tableColumn id="2" xr3:uid="{33E08420-4448-495D-ABBA-826462210990}" uniqueName="2" name="نام" queryTableFieldId="2" dataDxfId="9" dataCellStyle="Normal 2"/>
    <tableColumn id="3" xr3:uid="{9E1CA854-7A40-467B-A113-D2322C24C967}" uniqueName="3" name="تعداد" queryTableFieldId="3" dataDxfId="8" dataCellStyle="Normal 2"/>
    <tableColumn id="4" xr3:uid="{17A7594B-2749-4383-8FA0-09AC16D980CC}" uniqueName="4" name="حجم" queryTableFieldId="4" dataDxfId="7" dataCellStyle="Normal 2"/>
    <tableColumn id="5" xr3:uid="{B6432EE2-64D7-48F2-AAF4-3BD6DEF44F19}" uniqueName="5" name="ارزش" queryTableFieldId="5" dataDxfId="6" dataCellStyle="Normal 2"/>
    <tableColumn id="6" xr3:uid="{0217DEAA-D29E-47DC-890C-72ADF044DC4E}" uniqueName="6" name="دیروز" queryTableFieldId="6" dataDxfId="5" dataCellStyle="Normal 2"/>
    <tableColumn id="7" xr3:uid="{B207CD0B-02DA-43C3-843C-3385D0CBDEA8}" uniqueName="7" name="اولین" queryTableFieldId="7" dataDxfId="4" dataCellStyle="Normal 2"/>
    <tableColumn id="8" xr3:uid="{283BE6BB-EF16-4A9D-A624-1EC6380CCB29}" uniqueName="8" name="قیمت پایانی - مقدار" queryTableFieldId="8" dataDxfId="3" dataCellStyle="Normal 2"/>
    <tableColumn id="9" xr3:uid="{FA42BAEC-172B-48B9-A840-FD01188D75FE}" uniqueName="9" name="قیمت پایانی - درصد" queryTableFieldId="9" dataDxfId="2" dataCellStyle="Normal 2"/>
    <tableColumn id="10" xr3:uid="{00281DDF-CFFA-47BC-8BF7-FCCB65A40976}" uniqueName="10" name="کمترین" queryTableFieldId="10" dataDxfId="1" dataCellStyle="Normal 2"/>
    <tableColumn id="11" xr3:uid="{08114BFF-E9D6-433A-A697-D1769F09CEA7}" uniqueName="11" name="بیشترین" queryTableFieldId="11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C947-D83C-4364-9186-4116FF82E0EF}">
  <sheetPr codeName="Sheet1"/>
  <dimension ref="A1:K983"/>
  <sheetViews>
    <sheetView rightToLeft="1" workbookViewId="0">
      <selection activeCell="F11" sqref="F11"/>
    </sheetView>
  </sheetViews>
  <sheetFormatPr defaultRowHeight="14.4" x14ac:dyDescent="0.3"/>
  <cols>
    <col min="1" max="1" width="13.33203125" style="5" bestFit="1" customWidth="1"/>
    <col min="2" max="2" width="27.6640625" style="5" bestFit="1" customWidth="1"/>
    <col min="3" max="3" width="9.109375" style="5" bestFit="1" customWidth="1"/>
    <col min="4" max="4" width="11" style="5" bestFit="1" customWidth="1"/>
    <col min="5" max="5" width="12" style="5" bestFit="1" customWidth="1"/>
    <col min="6" max="6" width="9.33203125" style="5" bestFit="1" customWidth="1"/>
    <col min="7" max="7" width="8.6640625" style="5" bestFit="1" customWidth="1"/>
    <col min="8" max="8" width="18.88671875" style="5" bestFit="1" customWidth="1"/>
    <col min="9" max="9" width="19.109375" style="5" bestFit="1" customWidth="1"/>
    <col min="10" max="10" width="10" style="5" bestFit="1" customWidth="1"/>
    <col min="11" max="11" width="10.88671875" style="5" bestFit="1" customWidth="1"/>
    <col min="12" max="16384" width="8.88671875" style="5"/>
  </cols>
  <sheetData>
    <row r="1" spans="1:11" x14ac:dyDescent="0.3">
      <c r="A1" s="6" t="s">
        <v>1</v>
      </c>
      <c r="B1" s="6" t="s">
        <v>405</v>
      </c>
      <c r="C1" s="6" t="s">
        <v>404</v>
      </c>
      <c r="D1" s="6" t="s">
        <v>403</v>
      </c>
      <c r="E1" s="6" t="s">
        <v>157</v>
      </c>
      <c r="F1" s="6" t="s">
        <v>402</v>
      </c>
      <c r="G1" s="6" t="s">
        <v>401</v>
      </c>
      <c r="H1" s="6" t="s">
        <v>400</v>
      </c>
      <c r="I1" s="6" t="s">
        <v>399</v>
      </c>
      <c r="J1" s="6" t="s">
        <v>398</v>
      </c>
      <c r="K1" s="6" t="s">
        <v>397</v>
      </c>
    </row>
    <row r="2" spans="1:11" x14ac:dyDescent="0.3">
      <c r="A2" s="42" t="s">
        <v>773</v>
      </c>
      <c r="B2" s="5" t="s">
        <v>774</v>
      </c>
      <c r="C2" s="5">
        <v>553</v>
      </c>
      <c r="D2" s="5">
        <v>4590293</v>
      </c>
      <c r="E2" s="5">
        <v>38691798130</v>
      </c>
      <c r="F2" s="5">
        <v>8590</v>
      </c>
      <c r="G2" s="5">
        <v>8590</v>
      </c>
      <c r="H2" s="5">
        <v>8430</v>
      </c>
      <c r="I2" s="5">
        <v>-1.86</v>
      </c>
      <c r="J2" s="5">
        <v>8260</v>
      </c>
      <c r="K2" s="5">
        <v>8590</v>
      </c>
    </row>
    <row r="3" spans="1:11" x14ac:dyDescent="0.3">
      <c r="A3" s="9" t="s">
        <v>594</v>
      </c>
      <c r="B3" s="5" t="s">
        <v>557</v>
      </c>
      <c r="C3" s="5">
        <v>468</v>
      </c>
      <c r="D3" s="5">
        <v>1200999</v>
      </c>
      <c r="E3" s="5">
        <v>38349169230</v>
      </c>
      <c r="F3" s="5">
        <v>31580</v>
      </c>
      <c r="G3" s="5">
        <v>32380</v>
      </c>
      <c r="H3" s="5">
        <v>31930</v>
      </c>
      <c r="I3" s="5">
        <v>1.1100000000000001</v>
      </c>
      <c r="J3" s="5">
        <v>31380</v>
      </c>
      <c r="K3" s="5">
        <v>32470</v>
      </c>
    </row>
    <row r="4" spans="1:11" x14ac:dyDescent="0.3">
      <c r="A4" s="9" t="s">
        <v>987</v>
      </c>
      <c r="B4" s="5" t="s">
        <v>988</v>
      </c>
      <c r="C4" s="5">
        <v>2050</v>
      </c>
      <c r="D4" s="5">
        <v>3225317</v>
      </c>
      <c r="E4" s="5">
        <v>36662456670</v>
      </c>
      <c r="F4" s="5">
        <v>11230</v>
      </c>
      <c r="G4" s="5">
        <v>11580</v>
      </c>
      <c r="H4" s="5">
        <v>11370</v>
      </c>
      <c r="I4" s="5">
        <v>1.25</v>
      </c>
      <c r="J4" s="5">
        <v>11130</v>
      </c>
      <c r="K4" s="5">
        <v>11580</v>
      </c>
    </row>
    <row r="5" spans="1:11" x14ac:dyDescent="0.3">
      <c r="A5" s="9" t="s">
        <v>948</v>
      </c>
      <c r="B5" s="5" t="s">
        <v>949</v>
      </c>
      <c r="C5" s="5">
        <v>131</v>
      </c>
      <c r="D5" s="5">
        <v>2573394</v>
      </c>
      <c r="E5" s="5">
        <v>19712198040</v>
      </c>
      <c r="F5" s="5">
        <v>7890</v>
      </c>
      <c r="G5" s="5">
        <v>7660</v>
      </c>
      <c r="H5" s="5">
        <v>7660</v>
      </c>
      <c r="I5" s="5">
        <v>-2.92</v>
      </c>
      <c r="J5" s="5">
        <v>7660</v>
      </c>
      <c r="K5" s="5">
        <v>7660</v>
      </c>
    </row>
    <row r="6" spans="1:11" x14ac:dyDescent="0.3">
      <c r="A6" s="9" t="s">
        <v>394</v>
      </c>
      <c r="B6" s="5" t="s">
        <v>393</v>
      </c>
      <c r="C6" s="5">
        <v>1034</v>
      </c>
      <c r="D6" s="5">
        <v>2131809</v>
      </c>
      <c r="E6" s="5">
        <v>34375384830</v>
      </c>
      <c r="F6" s="5">
        <v>15770</v>
      </c>
      <c r="G6" s="5">
        <v>16100</v>
      </c>
      <c r="H6" s="5">
        <v>15870</v>
      </c>
      <c r="I6" s="5">
        <v>0.63</v>
      </c>
      <c r="J6" s="5">
        <v>16000</v>
      </c>
      <c r="K6" s="5">
        <v>16290</v>
      </c>
    </row>
    <row r="7" spans="1:11" x14ac:dyDescent="0.3">
      <c r="A7" s="9" t="s">
        <v>448</v>
      </c>
      <c r="B7" s="5" t="s">
        <v>449</v>
      </c>
      <c r="C7" s="5">
        <v>2417</v>
      </c>
      <c r="D7" s="5">
        <v>56513633</v>
      </c>
      <c r="E7" s="5">
        <v>308911070147</v>
      </c>
      <c r="F7" s="5">
        <v>5208</v>
      </c>
      <c r="G7" s="5">
        <v>5468</v>
      </c>
      <c r="H7" s="5">
        <v>5466</v>
      </c>
      <c r="I7" s="5">
        <v>4.95</v>
      </c>
      <c r="J7" s="5">
        <v>5400</v>
      </c>
      <c r="K7" s="5">
        <v>5468</v>
      </c>
    </row>
    <row r="8" spans="1:11" x14ac:dyDescent="0.3">
      <c r="A8" s="9" t="s">
        <v>939</v>
      </c>
      <c r="B8" s="5" t="s">
        <v>940</v>
      </c>
      <c r="C8" s="5">
        <v>652</v>
      </c>
      <c r="D8" s="5">
        <v>31684047</v>
      </c>
      <c r="E8" s="5">
        <v>188434078060</v>
      </c>
      <c r="F8" s="5">
        <v>5690</v>
      </c>
      <c r="G8" s="5">
        <v>5690</v>
      </c>
      <c r="H8" s="5">
        <v>5950</v>
      </c>
      <c r="I8" s="5">
        <v>4.57</v>
      </c>
      <c r="J8" s="5">
        <v>5630</v>
      </c>
      <c r="K8" s="5">
        <v>5970</v>
      </c>
    </row>
    <row r="9" spans="1:11" x14ac:dyDescent="0.3">
      <c r="A9" s="9" t="s">
        <v>264</v>
      </c>
      <c r="B9" s="5" t="s">
        <v>263</v>
      </c>
      <c r="C9" s="5">
        <v>200</v>
      </c>
      <c r="D9" s="5">
        <v>146361</v>
      </c>
      <c r="E9" s="5">
        <v>37536321425</v>
      </c>
      <c r="F9" s="5">
        <v>251215</v>
      </c>
      <c r="G9" s="5">
        <v>256506</v>
      </c>
      <c r="H9" s="5">
        <v>256464</v>
      </c>
      <c r="I9" s="5">
        <v>2.09</v>
      </c>
      <c r="J9" s="5">
        <v>251324</v>
      </c>
      <c r="K9" s="5">
        <v>259240</v>
      </c>
    </row>
    <row r="10" spans="1:11" x14ac:dyDescent="0.3">
      <c r="A10" s="9" t="s">
        <v>1451</v>
      </c>
      <c r="B10" s="5" t="s">
        <v>1452</v>
      </c>
      <c r="C10" s="5">
        <v>1</v>
      </c>
      <c r="D10" s="5">
        <v>5000</v>
      </c>
      <c r="E10" s="5">
        <v>4085050000</v>
      </c>
      <c r="F10" s="5">
        <v>860000</v>
      </c>
      <c r="G10" s="5">
        <v>817010</v>
      </c>
      <c r="H10" s="5">
        <v>817010</v>
      </c>
      <c r="I10" s="5">
        <v>-5</v>
      </c>
      <c r="J10" s="5">
        <v>817010</v>
      </c>
      <c r="K10" s="5">
        <v>817010</v>
      </c>
    </row>
    <row r="11" spans="1:11" x14ac:dyDescent="0.3">
      <c r="A11" s="9" t="s">
        <v>886</v>
      </c>
      <c r="B11" s="5" t="s">
        <v>887</v>
      </c>
      <c r="C11" s="5">
        <v>4578</v>
      </c>
      <c r="D11" s="5">
        <v>59556577</v>
      </c>
      <c r="E11" s="5">
        <v>502832395110</v>
      </c>
      <c r="F11" s="5">
        <v>8490</v>
      </c>
      <c r="G11" s="5">
        <v>8890</v>
      </c>
      <c r="H11" s="5">
        <v>8440</v>
      </c>
      <c r="I11" s="5">
        <v>-0.59</v>
      </c>
      <c r="J11" s="5">
        <v>8220</v>
      </c>
      <c r="K11" s="5">
        <v>8890</v>
      </c>
    </row>
    <row r="12" spans="1:11" x14ac:dyDescent="0.3">
      <c r="A12" s="9" t="s">
        <v>378</v>
      </c>
      <c r="B12" s="5" t="s">
        <v>284</v>
      </c>
      <c r="C12" s="5">
        <v>14</v>
      </c>
      <c r="D12" s="5">
        <v>9600</v>
      </c>
      <c r="E12" s="5">
        <v>6490162000</v>
      </c>
      <c r="F12" s="5">
        <v>669050</v>
      </c>
      <c r="G12" s="5">
        <v>667500</v>
      </c>
      <c r="H12" s="5">
        <v>676060</v>
      </c>
      <c r="I12" s="5">
        <v>1.05</v>
      </c>
      <c r="J12" s="5">
        <v>667500</v>
      </c>
      <c r="K12" s="5">
        <v>678000</v>
      </c>
    </row>
    <row r="13" spans="1:11" x14ac:dyDescent="0.3">
      <c r="A13" s="9" t="s">
        <v>1576</v>
      </c>
      <c r="B13" s="5" t="s">
        <v>284</v>
      </c>
      <c r="C13" s="5">
        <v>2</v>
      </c>
      <c r="D13" s="5">
        <v>15562000</v>
      </c>
      <c r="E13" s="5">
        <v>10355242697000</v>
      </c>
      <c r="F13" s="5">
        <v>669050</v>
      </c>
      <c r="G13" s="5">
        <v>665637</v>
      </c>
      <c r="H13" s="5">
        <v>665418</v>
      </c>
      <c r="I13" s="5">
        <v>-0.54</v>
      </c>
      <c r="J13" s="5">
        <v>665200</v>
      </c>
      <c r="K13" s="5">
        <v>665637</v>
      </c>
    </row>
    <row r="14" spans="1:11" x14ac:dyDescent="0.3">
      <c r="A14" s="9" t="s">
        <v>102</v>
      </c>
      <c r="B14" s="5" t="s">
        <v>101</v>
      </c>
      <c r="C14" s="5">
        <v>71</v>
      </c>
      <c r="D14" s="5">
        <v>65700</v>
      </c>
      <c r="E14" s="5">
        <v>42716564000</v>
      </c>
      <c r="F14" s="5">
        <v>642980</v>
      </c>
      <c r="G14" s="5">
        <v>641850</v>
      </c>
      <c r="H14" s="5">
        <v>650180</v>
      </c>
      <c r="I14" s="5">
        <v>1.1200000000000001</v>
      </c>
      <c r="J14" s="5">
        <v>641850</v>
      </c>
      <c r="K14" s="5">
        <v>666470</v>
      </c>
    </row>
    <row r="15" spans="1:11" x14ac:dyDescent="0.3">
      <c r="A15" s="9" t="s">
        <v>197</v>
      </c>
      <c r="B15" s="5" t="s">
        <v>101</v>
      </c>
      <c r="C15" s="5">
        <v>8</v>
      </c>
      <c r="D15" s="5">
        <v>307</v>
      </c>
      <c r="E15" s="5">
        <v>197935510</v>
      </c>
      <c r="F15" s="5">
        <v>642980</v>
      </c>
      <c r="G15" s="5">
        <v>642980</v>
      </c>
      <c r="H15" s="5">
        <v>644740</v>
      </c>
      <c r="I15" s="5">
        <v>0.27</v>
      </c>
      <c r="J15" s="5">
        <v>642020</v>
      </c>
      <c r="K15" s="5">
        <v>650040</v>
      </c>
    </row>
    <row r="16" spans="1:11" x14ac:dyDescent="0.3">
      <c r="A16" s="9" t="s">
        <v>1552</v>
      </c>
      <c r="B16" s="5" t="s">
        <v>101</v>
      </c>
      <c r="C16" s="5">
        <v>2</v>
      </c>
      <c r="D16" s="5">
        <v>7070000</v>
      </c>
      <c r="E16" s="5">
        <v>4544320270000</v>
      </c>
      <c r="F16" s="5">
        <v>642980</v>
      </c>
      <c r="G16" s="5">
        <v>642972</v>
      </c>
      <c r="H16" s="5">
        <v>642761</v>
      </c>
      <c r="I16" s="5">
        <v>-0.03</v>
      </c>
      <c r="J16" s="5">
        <v>642550</v>
      </c>
      <c r="K16" s="5">
        <v>642972</v>
      </c>
    </row>
    <row r="17" spans="1:11" x14ac:dyDescent="0.3">
      <c r="A17" s="9" t="s">
        <v>31</v>
      </c>
      <c r="B17" s="5" t="s">
        <v>30</v>
      </c>
      <c r="C17" s="5">
        <v>12</v>
      </c>
      <c r="D17" s="5">
        <v>7200</v>
      </c>
      <c r="E17" s="5">
        <v>5302814000</v>
      </c>
      <c r="F17" s="5">
        <v>726140</v>
      </c>
      <c r="G17" s="5">
        <v>730220</v>
      </c>
      <c r="H17" s="5">
        <v>736500</v>
      </c>
      <c r="I17" s="5">
        <v>1.43</v>
      </c>
      <c r="J17" s="5">
        <v>730210</v>
      </c>
      <c r="K17" s="5">
        <v>739900</v>
      </c>
    </row>
    <row r="18" spans="1:11" x14ac:dyDescent="0.3">
      <c r="A18" s="9" t="s">
        <v>1162</v>
      </c>
      <c r="B18" s="5" t="s">
        <v>30</v>
      </c>
      <c r="C18" s="5">
        <v>4</v>
      </c>
      <c r="D18" s="5">
        <v>156</v>
      </c>
      <c r="E18" s="5">
        <v>113561640</v>
      </c>
      <c r="F18" s="5">
        <v>726140</v>
      </c>
      <c r="G18" s="5">
        <v>725200</v>
      </c>
      <c r="H18" s="5">
        <v>727960</v>
      </c>
      <c r="I18" s="5">
        <v>0.25</v>
      </c>
      <c r="J18" s="5">
        <v>725200</v>
      </c>
      <c r="K18" s="5">
        <v>730000</v>
      </c>
    </row>
    <row r="19" spans="1:11" x14ac:dyDescent="0.3">
      <c r="A19" s="9" t="s">
        <v>1628</v>
      </c>
      <c r="B19" s="5" t="s">
        <v>30</v>
      </c>
      <c r="C19" s="5">
        <v>2</v>
      </c>
      <c r="D19" s="5">
        <v>20000</v>
      </c>
      <c r="E19" s="5">
        <v>14543780000</v>
      </c>
      <c r="F19" s="5">
        <v>726140</v>
      </c>
      <c r="G19" s="5">
        <v>727428</v>
      </c>
      <c r="H19" s="5">
        <v>727189</v>
      </c>
      <c r="I19" s="5">
        <v>0.14000000000000001</v>
      </c>
      <c r="J19" s="5">
        <v>726950</v>
      </c>
      <c r="K19" s="5">
        <v>727428</v>
      </c>
    </row>
    <row r="20" spans="1:11" x14ac:dyDescent="0.3">
      <c r="A20" s="9" t="s">
        <v>347</v>
      </c>
      <c r="B20" s="5" t="s">
        <v>335</v>
      </c>
      <c r="C20" s="5">
        <v>34</v>
      </c>
      <c r="D20" s="5">
        <v>485400</v>
      </c>
      <c r="E20" s="5">
        <v>353690311000</v>
      </c>
      <c r="F20" s="5">
        <v>714130</v>
      </c>
      <c r="G20" s="5">
        <v>714120</v>
      </c>
      <c r="H20" s="5">
        <v>728660</v>
      </c>
      <c r="I20" s="5">
        <v>2.0299999999999998</v>
      </c>
      <c r="J20" s="5">
        <v>714000</v>
      </c>
      <c r="K20" s="5">
        <v>729500</v>
      </c>
    </row>
    <row r="21" spans="1:11" x14ac:dyDescent="0.3">
      <c r="A21" s="9" t="s">
        <v>336</v>
      </c>
      <c r="B21" s="5" t="s">
        <v>335</v>
      </c>
      <c r="C21" s="5">
        <v>7</v>
      </c>
      <c r="D21" s="5">
        <v>268</v>
      </c>
      <c r="E21" s="5">
        <v>190651420</v>
      </c>
      <c r="F21" s="5">
        <v>714130</v>
      </c>
      <c r="G21" s="5">
        <v>710000</v>
      </c>
      <c r="H21" s="5">
        <v>711390</v>
      </c>
      <c r="I21" s="5">
        <v>-0.38</v>
      </c>
      <c r="J21" s="5">
        <v>678430</v>
      </c>
      <c r="K21" s="5">
        <v>714130</v>
      </c>
    </row>
    <row r="22" spans="1:11" x14ac:dyDescent="0.3">
      <c r="A22" s="9" t="s">
        <v>365</v>
      </c>
      <c r="B22" s="5" t="s">
        <v>315</v>
      </c>
      <c r="C22" s="5">
        <v>29</v>
      </c>
      <c r="D22" s="5">
        <v>45300</v>
      </c>
      <c r="E22" s="5">
        <v>31999566000</v>
      </c>
      <c r="F22" s="5">
        <v>696180</v>
      </c>
      <c r="G22" s="5">
        <v>698440</v>
      </c>
      <c r="H22" s="5">
        <v>706390</v>
      </c>
      <c r="I22" s="5">
        <v>1.47</v>
      </c>
      <c r="J22" s="5">
        <v>698430</v>
      </c>
      <c r="K22" s="5">
        <v>710000</v>
      </c>
    </row>
    <row r="23" spans="1:11" x14ac:dyDescent="0.3">
      <c r="A23" s="9" t="s">
        <v>316</v>
      </c>
      <c r="B23" s="5" t="s">
        <v>315</v>
      </c>
      <c r="C23" s="5">
        <v>11</v>
      </c>
      <c r="D23" s="5">
        <v>516</v>
      </c>
      <c r="E23" s="5">
        <v>357422130</v>
      </c>
      <c r="F23" s="5">
        <v>696180</v>
      </c>
      <c r="G23" s="5">
        <v>666960</v>
      </c>
      <c r="H23" s="5">
        <v>692680</v>
      </c>
      <c r="I23" s="5">
        <v>-0.5</v>
      </c>
      <c r="J23" s="5">
        <v>666960</v>
      </c>
      <c r="K23" s="5">
        <v>701010</v>
      </c>
    </row>
    <row r="24" spans="1:11" x14ac:dyDescent="0.3">
      <c r="A24" s="9" t="s">
        <v>139</v>
      </c>
      <c r="B24" s="5" t="s">
        <v>138</v>
      </c>
      <c r="C24" s="5">
        <v>32</v>
      </c>
      <c r="D24" s="5">
        <v>66500</v>
      </c>
      <c r="E24" s="5">
        <v>45577257000</v>
      </c>
      <c r="F24" s="5">
        <v>680590</v>
      </c>
      <c r="G24" s="5">
        <v>676900</v>
      </c>
      <c r="H24" s="5">
        <v>685370</v>
      </c>
      <c r="I24" s="5">
        <v>0.7</v>
      </c>
      <c r="J24" s="5">
        <v>676900</v>
      </c>
      <c r="K24" s="5">
        <v>712900</v>
      </c>
    </row>
    <row r="25" spans="1:11" x14ac:dyDescent="0.3">
      <c r="A25" s="9" t="s">
        <v>226</v>
      </c>
      <c r="B25" s="5" t="s">
        <v>138</v>
      </c>
      <c r="C25" s="5">
        <v>5</v>
      </c>
      <c r="D25" s="5">
        <v>236</v>
      </c>
      <c r="E25" s="5">
        <v>162001660</v>
      </c>
      <c r="F25" s="5">
        <v>680590</v>
      </c>
      <c r="G25" s="5">
        <v>683020</v>
      </c>
      <c r="H25" s="5">
        <v>686450</v>
      </c>
      <c r="I25" s="5">
        <v>0.86</v>
      </c>
      <c r="J25" s="5">
        <v>683020</v>
      </c>
      <c r="K25" s="5">
        <v>689790</v>
      </c>
    </row>
    <row r="26" spans="1:11" x14ac:dyDescent="0.3">
      <c r="A26" s="9" t="s">
        <v>119</v>
      </c>
      <c r="B26" s="5" t="s">
        <v>118</v>
      </c>
      <c r="C26" s="5">
        <v>12</v>
      </c>
      <c r="D26" s="5">
        <v>21600</v>
      </c>
      <c r="E26" s="5">
        <v>14541624000</v>
      </c>
      <c r="F26" s="5">
        <v>659070</v>
      </c>
      <c r="G26" s="5">
        <v>684000</v>
      </c>
      <c r="H26" s="5">
        <v>673220</v>
      </c>
      <c r="I26" s="5">
        <v>2.15</v>
      </c>
      <c r="J26" s="5">
        <v>668000</v>
      </c>
      <c r="K26" s="5">
        <v>691900</v>
      </c>
    </row>
    <row r="27" spans="1:11" x14ac:dyDescent="0.3">
      <c r="A27" s="9" t="s">
        <v>1059</v>
      </c>
      <c r="B27" s="5" t="s">
        <v>118</v>
      </c>
      <c r="C27" s="5">
        <v>1</v>
      </c>
      <c r="D27" s="5">
        <v>29</v>
      </c>
      <c r="E27" s="5">
        <v>19430000</v>
      </c>
      <c r="F27" s="5">
        <v>659070</v>
      </c>
      <c r="G27" s="5">
        <v>670000</v>
      </c>
      <c r="H27" s="5">
        <v>670000</v>
      </c>
      <c r="I27" s="5">
        <v>1.66</v>
      </c>
      <c r="J27" s="5">
        <v>670000</v>
      </c>
      <c r="K27" s="5">
        <v>670000</v>
      </c>
    </row>
    <row r="28" spans="1:11" x14ac:dyDescent="0.3">
      <c r="A28" s="9" t="s">
        <v>1591</v>
      </c>
      <c r="B28" s="5" t="s">
        <v>118</v>
      </c>
      <c r="C28" s="5">
        <v>2</v>
      </c>
      <c r="D28" s="5">
        <v>6730000</v>
      </c>
      <c r="E28" s="5">
        <v>4423534780000</v>
      </c>
      <c r="F28" s="5">
        <v>659070</v>
      </c>
      <c r="G28" s="5">
        <v>657502</v>
      </c>
      <c r="H28" s="5">
        <v>657286</v>
      </c>
      <c r="I28" s="5">
        <v>-0.27</v>
      </c>
      <c r="J28" s="5">
        <v>657070</v>
      </c>
      <c r="K28" s="5">
        <v>657502</v>
      </c>
    </row>
    <row r="29" spans="1:11" x14ac:dyDescent="0.3">
      <c r="A29" s="9" t="s">
        <v>325</v>
      </c>
      <c r="B29" s="5" t="s">
        <v>140</v>
      </c>
      <c r="C29" s="5">
        <v>9</v>
      </c>
      <c r="D29" s="5">
        <v>37400</v>
      </c>
      <c r="E29" s="5">
        <v>24945976000</v>
      </c>
      <c r="F29" s="5">
        <v>654050</v>
      </c>
      <c r="G29" s="5">
        <v>659030</v>
      </c>
      <c r="H29" s="5">
        <v>667000</v>
      </c>
      <c r="I29" s="5">
        <v>1.98</v>
      </c>
      <c r="J29" s="5">
        <v>659030</v>
      </c>
      <c r="K29" s="5">
        <v>669500</v>
      </c>
    </row>
    <row r="30" spans="1:11" x14ac:dyDescent="0.3">
      <c r="A30" s="9" t="s">
        <v>1553</v>
      </c>
      <c r="B30" s="5" t="s">
        <v>140</v>
      </c>
      <c r="C30" s="5">
        <v>2</v>
      </c>
      <c r="D30" s="5">
        <v>938000</v>
      </c>
      <c r="E30" s="5">
        <v>614826639000</v>
      </c>
      <c r="F30" s="5">
        <v>654050</v>
      </c>
      <c r="G30" s="5">
        <v>655681</v>
      </c>
      <c r="H30" s="5">
        <v>655465</v>
      </c>
      <c r="I30" s="5">
        <v>0.22</v>
      </c>
      <c r="J30" s="5">
        <v>655250</v>
      </c>
      <c r="K30" s="5">
        <v>655681</v>
      </c>
    </row>
    <row r="31" spans="1:11" x14ac:dyDescent="0.3">
      <c r="A31" s="9" t="s">
        <v>103</v>
      </c>
      <c r="B31" s="5" t="s">
        <v>38</v>
      </c>
      <c r="C31" s="5">
        <v>3</v>
      </c>
      <c r="D31" s="5">
        <v>1500</v>
      </c>
      <c r="E31" s="5">
        <v>975193000</v>
      </c>
      <c r="F31" s="5">
        <v>640240</v>
      </c>
      <c r="G31" s="5">
        <v>649000</v>
      </c>
      <c r="H31" s="5">
        <v>650130</v>
      </c>
      <c r="I31" s="5">
        <v>1.54</v>
      </c>
      <c r="J31" s="5">
        <v>649000</v>
      </c>
      <c r="K31" s="5">
        <v>659930</v>
      </c>
    </row>
    <row r="32" spans="1:11" x14ac:dyDescent="0.3">
      <c r="A32" s="9" t="s">
        <v>1567</v>
      </c>
      <c r="B32" s="5" t="s">
        <v>38</v>
      </c>
      <c r="C32" s="5">
        <v>3</v>
      </c>
      <c r="D32" s="5">
        <v>6861800</v>
      </c>
      <c r="E32" s="5">
        <v>4368760149200</v>
      </c>
      <c r="F32" s="5">
        <v>640240</v>
      </c>
      <c r="G32" s="5">
        <v>636428</v>
      </c>
      <c r="H32" s="5">
        <v>636678</v>
      </c>
      <c r="I32" s="5">
        <v>-0.56000000000000005</v>
      </c>
      <c r="J32" s="5">
        <v>636428</v>
      </c>
      <c r="K32" s="5">
        <v>640560</v>
      </c>
    </row>
    <row r="33" spans="1:11" x14ac:dyDescent="0.3">
      <c r="A33" s="9" t="s">
        <v>33</v>
      </c>
      <c r="B33" s="5" t="s">
        <v>32</v>
      </c>
      <c r="C33" s="5">
        <v>11</v>
      </c>
      <c r="D33" s="5">
        <v>48700</v>
      </c>
      <c r="E33" s="5">
        <v>31373147000</v>
      </c>
      <c r="F33" s="5">
        <v>628930</v>
      </c>
      <c r="G33" s="5">
        <v>634500</v>
      </c>
      <c r="H33" s="5">
        <v>644210</v>
      </c>
      <c r="I33" s="5">
        <v>2.4300000000000002</v>
      </c>
      <c r="J33" s="5">
        <v>634500</v>
      </c>
      <c r="K33" s="5">
        <v>644990</v>
      </c>
    </row>
    <row r="34" spans="1:11" x14ac:dyDescent="0.3">
      <c r="A34" s="9" t="s">
        <v>1287</v>
      </c>
      <c r="B34" s="5" t="s">
        <v>32</v>
      </c>
      <c r="C34" s="5">
        <v>1</v>
      </c>
      <c r="D34" s="5">
        <v>14</v>
      </c>
      <c r="E34" s="5">
        <v>8834000</v>
      </c>
      <c r="F34" s="5">
        <v>628930</v>
      </c>
      <c r="G34" s="5">
        <v>631000</v>
      </c>
      <c r="H34" s="5">
        <v>631000</v>
      </c>
      <c r="I34" s="5">
        <v>0.33</v>
      </c>
      <c r="J34" s="5">
        <v>631000</v>
      </c>
      <c r="K34" s="5">
        <v>631000</v>
      </c>
    </row>
    <row r="35" spans="1:11" x14ac:dyDescent="0.3">
      <c r="A35" s="9" t="s">
        <v>1722</v>
      </c>
      <c r="B35" s="5" t="s">
        <v>32</v>
      </c>
      <c r="C35" s="5">
        <v>2</v>
      </c>
      <c r="D35" s="5">
        <v>404000</v>
      </c>
      <c r="E35" s="5">
        <v>253532826000</v>
      </c>
      <c r="F35" s="5">
        <v>628930</v>
      </c>
      <c r="G35" s="5">
        <v>627763</v>
      </c>
      <c r="H35" s="5">
        <v>627556</v>
      </c>
      <c r="I35" s="5">
        <v>-0.22</v>
      </c>
      <c r="J35" s="5">
        <v>627350</v>
      </c>
      <c r="K35" s="5">
        <v>627763</v>
      </c>
    </row>
    <row r="36" spans="1:11" x14ac:dyDescent="0.3">
      <c r="A36" s="9" t="s">
        <v>543</v>
      </c>
      <c r="B36" s="5" t="s">
        <v>544</v>
      </c>
      <c r="C36" s="5">
        <v>74</v>
      </c>
      <c r="D36" s="5">
        <v>345800</v>
      </c>
      <c r="E36" s="5">
        <v>201997817000</v>
      </c>
      <c r="F36" s="5">
        <v>575790</v>
      </c>
      <c r="G36" s="5">
        <v>575490</v>
      </c>
      <c r="H36" s="5">
        <v>584150</v>
      </c>
      <c r="I36" s="5">
        <v>1.45</v>
      </c>
      <c r="J36" s="5">
        <v>575120</v>
      </c>
      <c r="K36" s="5">
        <v>585000</v>
      </c>
    </row>
    <row r="37" spans="1:11" x14ac:dyDescent="0.3">
      <c r="A37" s="9" t="s">
        <v>556</v>
      </c>
      <c r="B37" s="5" t="s">
        <v>544</v>
      </c>
      <c r="C37" s="5">
        <v>9</v>
      </c>
      <c r="D37" s="5">
        <v>307</v>
      </c>
      <c r="E37" s="5">
        <v>176385680</v>
      </c>
      <c r="F37" s="5">
        <v>575790</v>
      </c>
      <c r="G37" s="5">
        <v>572010</v>
      </c>
      <c r="H37" s="5">
        <v>574550</v>
      </c>
      <c r="I37" s="5">
        <v>-0.22</v>
      </c>
      <c r="J37" s="5">
        <v>572010</v>
      </c>
      <c r="K37" s="5">
        <v>575790</v>
      </c>
    </row>
    <row r="38" spans="1:11" x14ac:dyDescent="0.3">
      <c r="A38" s="9" t="s">
        <v>1121</v>
      </c>
      <c r="B38" s="5" t="s">
        <v>645</v>
      </c>
      <c r="C38" s="5">
        <v>5</v>
      </c>
      <c r="D38" s="5">
        <v>177</v>
      </c>
      <c r="E38" s="5">
        <v>98234070</v>
      </c>
      <c r="F38" s="5">
        <v>553030</v>
      </c>
      <c r="G38" s="5">
        <v>554990</v>
      </c>
      <c r="H38" s="5">
        <v>554990</v>
      </c>
      <c r="I38" s="5">
        <v>0.35</v>
      </c>
      <c r="J38" s="5">
        <v>554990</v>
      </c>
      <c r="K38" s="5">
        <v>555000</v>
      </c>
    </row>
    <row r="39" spans="1:11" x14ac:dyDescent="0.3">
      <c r="A39" s="9" t="s">
        <v>1709</v>
      </c>
      <c r="B39" s="5" t="s">
        <v>645</v>
      </c>
      <c r="C39" s="5">
        <v>2</v>
      </c>
      <c r="D39" s="5">
        <v>2878000</v>
      </c>
      <c r="E39" s="5">
        <v>1596117215000</v>
      </c>
      <c r="F39" s="5">
        <v>553030</v>
      </c>
      <c r="G39" s="5">
        <v>554775</v>
      </c>
      <c r="H39" s="5">
        <v>554592</v>
      </c>
      <c r="I39" s="5">
        <v>0.28000000000000003</v>
      </c>
      <c r="J39" s="5">
        <v>554410</v>
      </c>
      <c r="K39" s="5">
        <v>554775</v>
      </c>
    </row>
    <row r="40" spans="1:11" x14ac:dyDescent="0.3">
      <c r="A40" s="9" t="s">
        <v>1705</v>
      </c>
      <c r="B40" s="5" t="s">
        <v>337</v>
      </c>
      <c r="C40" s="5">
        <v>1</v>
      </c>
      <c r="D40" s="5">
        <v>22</v>
      </c>
      <c r="E40" s="5">
        <v>17916140</v>
      </c>
      <c r="F40" s="5">
        <v>857230</v>
      </c>
      <c r="G40" s="5">
        <v>814370</v>
      </c>
      <c r="H40" s="5">
        <v>814370</v>
      </c>
      <c r="I40" s="5">
        <v>-5</v>
      </c>
      <c r="J40" s="5">
        <v>814370</v>
      </c>
      <c r="K40" s="5">
        <v>814370</v>
      </c>
    </row>
    <row r="41" spans="1:11" x14ac:dyDescent="0.3">
      <c r="A41" s="9" t="s">
        <v>384</v>
      </c>
      <c r="B41" s="5" t="s">
        <v>383</v>
      </c>
      <c r="C41" s="5">
        <v>2</v>
      </c>
      <c r="D41" s="5">
        <v>800</v>
      </c>
      <c r="E41" s="5">
        <v>679764000</v>
      </c>
      <c r="F41" s="5">
        <v>842070</v>
      </c>
      <c r="G41" s="5">
        <v>857860</v>
      </c>
      <c r="H41" s="5">
        <v>849700</v>
      </c>
      <c r="I41" s="5">
        <v>0.91</v>
      </c>
      <c r="J41" s="5">
        <v>841550</v>
      </c>
      <c r="K41" s="5">
        <v>857860</v>
      </c>
    </row>
    <row r="42" spans="1:11" x14ac:dyDescent="0.3">
      <c r="A42" s="9" t="s">
        <v>1652</v>
      </c>
      <c r="B42" s="5" t="s">
        <v>383</v>
      </c>
      <c r="C42" s="5">
        <v>1</v>
      </c>
      <c r="D42" s="5">
        <v>77</v>
      </c>
      <c r="E42" s="5">
        <v>65604000</v>
      </c>
      <c r="F42" s="5">
        <v>842070</v>
      </c>
      <c r="G42" s="5">
        <v>852000</v>
      </c>
      <c r="H42" s="5">
        <v>852000</v>
      </c>
      <c r="I42" s="5">
        <v>1.18</v>
      </c>
      <c r="J42" s="5">
        <v>852000</v>
      </c>
      <c r="K42" s="5">
        <v>852000</v>
      </c>
    </row>
    <row r="43" spans="1:11" x14ac:dyDescent="0.3">
      <c r="A43" s="9" t="s">
        <v>131</v>
      </c>
      <c r="B43" s="5" t="s">
        <v>130</v>
      </c>
      <c r="C43" s="5">
        <v>13</v>
      </c>
      <c r="D43" s="5">
        <v>29500</v>
      </c>
      <c r="E43" s="5">
        <v>25880763000</v>
      </c>
      <c r="F43" s="5">
        <v>879980</v>
      </c>
      <c r="G43" s="5">
        <v>869490</v>
      </c>
      <c r="H43" s="5">
        <v>877310</v>
      </c>
      <c r="I43" s="5">
        <v>-0.3</v>
      </c>
      <c r="J43" s="5">
        <v>869490</v>
      </c>
      <c r="K43" s="5">
        <v>879970</v>
      </c>
    </row>
    <row r="44" spans="1:11" x14ac:dyDescent="0.3">
      <c r="A44" s="9" t="s">
        <v>289</v>
      </c>
      <c r="B44" s="5" t="s">
        <v>288</v>
      </c>
      <c r="C44" s="5">
        <v>7</v>
      </c>
      <c r="D44" s="5">
        <v>1500</v>
      </c>
      <c r="E44" s="5">
        <v>1354451000</v>
      </c>
      <c r="F44" s="5">
        <v>900000</v>
      </c>
      <c r="G44" s="5">
        <v>895010</v>
      </c>
      <c r="H44" s="5">
        <v>902970</v>
      </c>
      <c r="I44" s="5">
        <v>0.33</v>
      </c>
      <c r="J44" s="5">
        <v>895010</v>
      </c>
      <c r="K44" s="5">
        <v>903900</v>
      </c>
    </row>
    <row r="45" spans="1:11" x14ac:dyDescent="0.3">
      <c r="A45" s="9" t="s">
        <v>1442</v>
      </c>
      <c r="B45" s="5" t="s">
        <v>288</v>
      </c>
      <c r="C45" s="5">
        <v>1</v>
      </c>
      <c r="D45" s="5">
        <v>16700000</v>
      </c>
      <c r="E45" s="5">
        <v>14922568900000</v>
      </c>
      <c r="F45" s="5">
        <v>900000</v>
      </c>
      <c r="G45" s="5">
        <v>893567</v>
      </c>
      <c r="H45" s="5">
        <v>893567</v>
      </c>
      <c r="I45" s="5">
        <v>-0.71</v>
      </c>
      <c r="J45" s="5">
        <v>893567</v>
      </c>
      <c r="K45" s="5">
        <v>893567</v>
      </c>
    </row>
    <row r="46" spans="1:11" x14ac:dyDescent="0.3">
      <c r="A46" s="9" t="s">
        <v>312</v>
      </c>
      <c r="B46" s="5" t="s">
        <v>311</v>
      </c>
      <c r="C46" s="5">
        <v>40</v>
      </c>
      <c r="D46" s="5">
        <v>80000</v>
      </c>
      <c r="E46" s="5">
        <v>75661174000</v>
      </c>
      <c r="F46" s="5">
        <v>946690</v>
      </c>
      <c r="G46" s="5">
        <v>945600</v>
      </c>
      <c r="H46" s="5">
        <v>945760</v>
      </c>
      <c r="I46" s="5">
        <v>-0.1</v>
      </c>
      <c r="J46" s="5">
        <v>943680</v>
      </c>
      <c r="K46" s="5">
        <v>953640</v>
      </c>
    </row>
    <row r="47" spans="1:11" x14ac:dyDescent="0.3">
      <c r="A47" s="9" t="s">
        <v>174</v>
      </c>
      <c r="B47" s="5" t="s">
        <v>106</v>
      </c>
      <c r="C47" s="5">
        <v>26</v>
      </c>
      <c r="D47" s="5">
        <v>78500</v>
      </c>
      <c r="E47" s="5">
        <v>68374309000</v>
      </c>
      <c r="F47" s="5">
        <v>861390</v>
      </c>
      <c r="G47" s="5">
        <v>860500</v>
      </c>
      <c r="H47" s="5">
        <v>871010</v>
      </c>
      <c r="I47" s="5">
        <v>1.1200000000000001</v>
      </c>
      <c r="J47" s="5">
        <v>860500</v>
      </c>
      <c r="K47" s="5">
        <v>893000</v>
      </c>
    </row>
    <row r="48" spans="1:11" x14ac:dyDescent="0.3">
      <c r="A48" s="9" t="s">
        <v>1190</v>
      </c>
      <c r="B48" s="5" t="s">
        <v>106</v>
      </c>
      <c r="C48" s="5">
        <v>3</v>
      </c>
      <c r="D48" s="5">
        <v>83</v>
      </c>
      <c r="E48" s="5">
        <v>68398090</v>
      </c>
      <c r="F48" s="5">
        <v>861390</v>
      </c>
      <c r="G48" s="5">
        <v>818330</v>
      </c>
      <c r="H48" s="5">
        <v>824070</v>
      </c>
      <c r="I48" s="5">
        <v>-4.33</v>
      </c>
      <c r="J48" s="5">
        <v>818330</v>
      </c>
      <c r="K48" s="5">
        <v>866000</v>
      </c>
    </row>
    <row r="49" spans="1:11" x14ac:dyDescent="0.3">
      <c r="A49" s="9" t="s">
        <v>55</v>
      </c>
      <c r="B49" s="5" t="s">
        <v>54</v>
      </c>
      <c r="C49" s="5">
        <v>23</v>
      </c>
      <c r="D49" s="5">
        <v>19100</v>
      </c>
      <c r="E49" s="5">
        <v>16276916000</v>
      </c>
      <c r="F49" s="5">
        <v>842630</v>
      </c>
      <c r="G49" s="5">
        <v>851290</v>
      </c>
      <c r="H49" s="5">
        <v>852190</v>
      </c>
      <c r="I49" s="5">
        <v>1.1299999999999999</v>
      </c>
      <c r="J49" s="5">
        <v>851000</v>
      </c>
      <c r="K49" s="5">
        <v>855000</v>
      </c>
    </row>
    <row r="50" spans="1:11" x14ac:dyDescent="0.3">
      <c r="A50" s="9" t="s">
        <v>1708</v>
      </c>
      <c r="B50" s="5" t="s">
        <v>54</v>
      </c>
      <c r="C50" s="5">
        <v>2</v>
      </c>
      <c r="D50" s="5">
        <v>94</v>
      </c>
      <c r="E50" s="5">
        <v>79994000</v>
      </c>
      <c r="F50" s="5">
        <v>842630</v>
      </c>
      <c r="G50" s="5">
        <v>851000</v>
      </c>
      <c r="H50" s="5">
        <v>851000</v>
      </c>
      <c r="I50" s="5">
        <v>0.99</v>
      </c>
      <c r="J50" s="5">
        <v>851000</v>
      </c>
      <c r="K50" s="5">
        <v>851000</v>
      </c>
    </row>
    <row r="51" spans="1:11" x14ac:dyDescent="0.3">
      <c r="A51" s="9" t="s">
        <v>211</v>
      </c>
      <c r="B51" s="5" t="s">
        <v>98</v>
      </c>
      <c r="C51" s="5">
        <v>17</v>
      </c>
      <c r="D51" s="5">
        <v>11800</v>
      </c>
      <c r="E51" s="5">
        <v>9788742000</v>
      </c>
      <c r="F51" s="5">
        <v>820020</v>
      </c>
      <c r="G51" s="5">
        <v>815790</v>
      </c>
      <c r="H51" s="5">
        <v>829550</v>
      </c>
      <c r="I51" s="5">
        <v>1.1599999999999999</v>
      </c>
      <c r="J51" s="5">
        <v>815790</v>
      </c>
      <c r="K51" s="5">
        <v>837980</v>
      </c>
    </row>
    <row r="52" spans="1:11" x14ac:dyDescent="0.3">
      <c r="A52" s="9" t="s">
        <v>1781</v>
      </c>
      <c r="B52" s="5" t="s">
        <v>98</v>
      </c>
      <c r="C52" s="5">
        <v>2</v>
      </c>
      <c r="D52" s="5">
        <v>140</v>
      </c>
      <c r="E52" s="5">
        <v>114614000</v>
      </c>
      <c r="F52" s="5">
        <v>820020</v>
      </c>
      <c r="G52" s="5">
        <v>814000</v>
      </c>
      <c r="H52" s="5">
        <v>818670</v>
      </c>
      <c r="I52" s="5">
        <v>-0.16</v>
      </c>
      <c r="J52" s="5">
        <v>814000</v>
      </c>
      <c r="K52" s="5">
        <v>824900</v>
      </c>
    </row>
    <row r="53" spans="1:11" x14ac:dyDescent="0.3">
      <c r="A53" s="9" t="s">
        <v>1574</v>
      </c>
      <c r="B53" s="5" t="s">
        <v>1575</v>
      </c>
      <c r="C53" s="5">
        <v>2</v>
      </c>
      <c r="D53" s="5">
        <v>19800000</v>
      </c>
      <c r="E53" s="5">
        <v>17227415700000</v>
      </c>
      <c r="F53" s="5">
        <v>975930</v>
      </c>
      <c r="G53" s="5">
        <v>870143</v>
      </c>
      <c r="H53" s="5">
        <v>870071</v>
      </c>
      <c r="I53" s="5">
        <v>-10.85</v>
      </c>
      <c r="J53" s="5">
        <v>870000</v>
      </c>
      <c r="K53" s="5">
        <v>870143</v>
      </c>
    </row>
    <row r="54" spans="1:11" x14ac:dyDescent="0.3">
      <c r="A54" s="9" t="s">
        <v>1328</v>
      </c>
      <c r="B54" s="5" t="s">
        <v>832</v>
      </c>
      <c r="C54" s="5">
        <v>2</v>
      </c>
      <c r="D54" s="5">
        <v>20000000</v>
      </c>
      <c r="E54" s="5">
        <v>19792810000000</v>
      </c>
      <c r="F54" s="5">
        <v>986660</v>
      </c>
      <c r="G54" s="5">
        <v>989731</v>
      </c>
      <c r="H54" s="5">
        <v>989640</v>
      </c>
      <c r="I54" s="5">
        <v>0.3</v>
      </c>
      <c r="J54" s="5">
        <v>989550</v>
      </c>
      <c r="K54" s="5">
        <v>989731</v>
      </c>
    </row>
    <row r="55" spans="1:11" x14ac:dyDescent="0.3">
      <c r="A55" s="9" t="s">
        <v>572</v>
      </c>
      <c r="B55" s="5" t="s">
        <v>568</v>
      </c>
      <c r="C55" s="5">
        <v>27</v>
      </c>
      <c r="D55" s="5">
        <v>5025000</v>
      </c>
      <c r="E55" s="5">
        <v>4631350000000</v>
      </c>
      <c r="F55" s="5">
        <v>921500</v>
      </c>
      <c r="G55" s="5">
        <v>950000</v>
      </c>
      <c r="H55" s="5">
        <v>921660</v>
      </c>
      <c r="I55" s="5">
        <v>0.02</v>
      </c>
      <c r="J55" s="5">
        <v>921500</v>
      </c>
      <c r="K55" s="5">
        <v>955000</v>
      </c>
    </row>
    <row r="56" spans="1:11" x14ac:dyDescent="0.3">
      <c r="A56" s="9" t="s">
        <v>1585</v>
      </c>
      <c r="B56" s="5" t="s">
        <v>568</v>
      </c>
      <c r="C56" s="5">
        <v>2</v>
      </c>
      <c r="D56" s="5">
        <v>26960000</v>
      </c>
      <c r="E56" s="5">
        <v>24405930920000</v>
      </c>
      <c r="F56" s="5">
        <v>921500</v>
      </c>
      <c r="G56" s="5">
        <v>905329</v>
      </c>
      <c r="H56" s="5">
        <v>905264</v>
      </c>
      <c r="I56" s="5">
        <v>-1.76</v>
      </c>
      <c r="J56" s="5">
        <v>905200</v>
      </c>
      <c r="K56" s="5">
        <v>905329</v>
      </c>
    </row>
    <row r="57" spans="1:11" x14ac:dyDescent="0.3">
      <c r="A57" s="9" t="s">
        <v>1579</v>
      </c>
      <c r="B57" s="5" t="s">
        <v>1580</v>
      </c>
      <c r="C57" s="5">
        <v>2</v>
      </c>
      <c r="D57" s="5">
        <v>9860000</v>
      </c>
      <c r="E57" s="5">
        <v>9362917960000</v>
      </c>
      <c r="F57" s="5">
        <v>952100</v>
      </c>
      <c r="G57" s="5">
        <v>949672</v>
      </c>
      <c r="H57" s="5">
        <v>949586</v>
      </c>
      <c r="I57" s="5">
        <v>-0.26</v>
      </c>
      <c r="J57" s="5">
        <v>949500</v>
      </c>
      <c r="K57" s="5">
        <v>949672</v>
      </c>
    </row>
    <row r="58" spans="1:11" x14ac:dyDescent="0.3">
      <c r="A58" s="9" t="s">
        <v>1589</v>
      </c>
      <c r="B58" s="5" t="s">
        <v>620</v>
      </c>
      <c r="C58" s="5">
        <v>2</v>
      </c>
      <c r="D58" s="5">
        <v>1480000</v>
      </c>
      <c r="E58" s="5">
        <v>1332102860000</v>
      </c>
      <c r="F58" s="5">
        <v>902520</v>
      </c>
      <c r="G58" s="5">
        <v>900139</v>
      </c>
      <c r="H58" s="5">
        <v>900069</v>
      </c>
      <c r="I58" s="5">
        <v>-0.27</v>
      </c>
      <c r="J58" s="5">
        <v>900000</v>
      </c>
      <c r="K58" s="5">
        <v>900139</v>
      </c>
    </row>
    <row r="59" spans="1:11" x14ac:dyDescent="0.3">
      <c r="A59" s="9" t="s">
        <v>1821</v>
      </c>
      <c r="B59" s="5" t="s">
        <v>1822</v>
      </c>
      <c r="C59" s="5">
        <v>2</v>
      </c>
      <c r="D59" s="5">
        <v>400000</v>
      </c>
      <c r="E59" s="5">
        <v>400000000000</v>
      </c>
      <c r="F59" s="5">
        <v>970000</v>
      </c>
      <c r="G59" s="5">
        <v>1000000</v>
      </c>
      <c r="H59" s="5">
        <v>1000000</v>
      </c>
      <c r="I59" s="5">
        <v>3.09</v>
      </c>
      <c r="J59" s="5">
        <v>1000000</v>
      </c>
      <c r="K59" s="5">
        <v>1000000</v>
      </c>
    </row>
    <row r="60" spans="1:11" x14ac:dyDescent="0.3">
      <c r="A60" s="9" t="s">
        <v>1556</v>
      </c>
      <c r="B60" s="5" t="s">
        <v>1557</v>
      </c>
      <c r="C60" s="5">
        <v>2</v>
      </c>
      <c r="D60" s="5">
        <v>40000000</v>
      </c>
      <c r="E60" s="5">
        <v>36930560000000</v>
      </c>
      <c r="F60" s="5">
        <v>990000</v>
      </c>
      <c r="G60" s="5">
        <v>923328</v>
      </c>
      <c r="H60" s="5">
        <v>923264</v>
      </c>
      <c r="I60" s="5">
        <v>-6.74</v>
      </c>
      <c r="J60" s="5">
        <v>923200</v>
      </c>
      <c r="K60" s="5">
        <v>923328</v>
      </c>
    </row>
    <row r="61" spans="1:11" x14ac:dyDescent="0.3">
      <c r="A61" s="9" t="s">
        <v>1329</v>
      </c>
      <c r="B61" s="5" t="s">
        <v>1330</v>
      </c>
      <c r="C61" s="5">
        <v>2</v>
      </c>
      <c r="D61" s="5">
        <v>49360000</v>
      </c>
      <c r="E61" s="5">
        <v>45612021160000</v>
      </c>
      <c r="F61" s="5">
        <v>959000</v>
      </c>
      <c r="G61" s="5">
        <v>924137</v>
      </c>
      <c r="H61" s="5">
        <v>924068</v>
      </c>
      <c r="I61" s="5">
        <v>-3.64</v>
      </c>
      <c r="J61" s="5">
        <v>924000</v>
      </c>
      <c r="K61" s="5">
        <v>924137</v>
      </c>
    </row>
    <row r="62" spans="1:11" x14ac:dyDescent="0.3">
      <c r="A62" s="9" t="s">
        <v>1564</v>
      </c>
      <c r="B62" s="5" t="s">
        <v>1565</v>
      </c>
      <c r="C62" s="5">
        <v>3</v>
      </c>
      <c r="D62" s="5">
        <v>14980000</v>
      </c>
      <c r="E62" s="5">
        <v>14029331900000</v>
      </c>
      <c r="F62" s="5">
        <v>942960</v>
      </c>
      <c r="G62" s="5">
        <v>932810</v>
      </c>
      <c r="H62" s="5">
        <v>936537</v>
      </c>
      <c r="I62" s="5">
        <v>-0.68</v>
      </c>
      <c r="J62" s="5">
        <v>932810</v>
      </c>
      <c r="K62" s="5">
        <v>944000</v>
      </c>
    </row>
    <row r="63" spans="1:11" x14ac:dyDescent="0.3">
      <c r="A63" s="9" t="s">
        <v>1788</v>
      </c>
      <c r="B63" s="5" t="s">
        <v>1789</v>
      </c>
      <c r="C63" s="5">
        <v>4</v>
      </c>
      <c r="D63" s="5">
        <v>41228900</v>
      </c>
      <c r="E63" s="5">
        <v>36316476565000</v>
      </c>
      <c r="F63" s="5">
        <v>880740</v>
      </c>
      <c r="G63" s="5">
        <v>880850</v>
      </c>
      <c r="H63" s="5">
        <v>880850</v>
      </c>
      <c r="I63" s="5">
        <v>0.01</v>
      </c>
      <c r="J63" s="5">
        <v>880850</v>
      </c>
      <c r="K63" s="5">
        <v>880850</v>
      </c>
    </row>
    <row r="64" spans="1:11" x14ac:dyDescent="0.3">
      <c r="A64" s="9" t="s">
        <v>1594</v>
      </c>
      <c r="B64" s="5" t="s">
        <v>1595</v>
      </c>
      <c r="C64" s="5">
        <v>1</v>
      </c>
      <c r="D64" s="5">
        <v>11351942</v>
      </c>
      <c r="E64" s="5">
        <v>10639233025414</v>
      </c>
      <c r="F64" s="5">
        <v>940000</v>
      </c>
      <c r="G64" s="5">
        <v>937217</v>
      </c>
      <c r="H64" s="5">
        <v>937217</v>
      </c>
      <c r="I64" s="5">
        <v>-0.3</v>
      </c>
      <c r="J64" s="5">
        <v>937217</v>
      </c>
      <c r="K64" s="5">
        <v>937217</v>
      </c>
    </row>
    <row r="65" spans="1:11" x14ac:dyDescent="0.3">
      <c r="A65" s="9" t="s">
        <v>1590</v>
      </c>
      <c r="B65" s="5" t="s">
        <v>1331</v>
      </c>
      <c r="C65" s="5">
        <v>2</v>
      </c>
      <c r="D65" s="5">
        <v>20000000</v>
      </c>
      <c r="E65" s="5">
        <v>18894330000000</v>
      </c>
      <c r="F65" s="5">
        <v>964900</v>
      </c>
      <c r="G65" s="5">
        <v>944833</v>
      </c>
      <c r="H65" s="5">
        <v>944716</v>
      </c>
      <c r="I65" s="5">
        <v>-2.09</v>
      </c>
      <c r="J65" s="5">
        <v>944600</v>
      </c>
      <c r="K65" s="5">
        <v>944833</v>
      </c>
    </row>
    <row r="66" spans="1:11" x14ac:dyDescent="0.3">
      <c r="A66" s="9" t="s">
        <v>1583</v>
      </c>
      <c r="B66" s="5" t="s">
        <v>1584</v>
      </c>
      <c r="C66" s="5">
        <v>1</v>
      </c>
      <c r="D66" s="5">
        <v>9793300</v>
      </c>
      <c r="E66" s="5">
        <v>8607517442700</v>
      </c>
      <c r="F66" s="5">
        <v>1000000</v>
      </c>
      <c r="G66" s="5">
        <v>878919</v>
      </c>
      <c r="H66" s="5">
        <v>878919</v>
      </c>
      <c r="I66" s="5">
        <v>-12.11</v>
      </c>
      <c r="J66" s="5">
        <v>878919</v>
      </c>
      <c r="K66" s="5">
        <v>878919</v>
      </c>
    </row>
    <row r="67" spans="1:11" x14ac:dyDescent="0.3">
      <c r="A67" s="9" t="s">
        <v>1541</v>
      </c>
      <c r="B67" s="5" t="s">
        <v>1542</v>
      </c>
      <c r="C67" s="5">
        <v>2</v>
      </c>
      <c r="D67" s="5">
        <v>6200000</v>
      </c>
      <c r="E67" s="5">
        <v>5946407600000</v>
      </c>
      <c r="F67" s="5">
        <v>946000</v>
      </c>
      <c r="G67" s="5">
        <v>959196</v>
      </c>
      <c r="H67" s="5">
        <v>959098</v>
      </c>
      <c r="I67" s="5">
        <v>1.38</v>
      </c>
      <c r="J67" s="5">
        <v>959000</v>
      </c>
      <c r="K67" s="5">
        <v>959196</v>
      </c>
    </row>
    <row r="68" spans="1:11" x14ac:dyDescent="0.3">
      <c r="A68" s="9" t="s">
        <v>1500</v>
      </c>
      <c r="B68" s="5" t="s">
        <v>1501</v>
      </c>
      <c r="C68" s="5">
        <v>28</v>
      </c>
      <c r="D68" s="5">
        <v>1205000</v>
      </c>
      <c r="E68" s="5">
        <v>1205000000000</v>
      </c>
      <c r="F68" s="5">
        <v>1000000</v>
      </c>
      <c r="G68" s="5">
        <v>1000000</v>
      </c>
      <c r="H68" s="5">
        <v>1000000</v>
      </c>
      <c r="I68" s="5">
        <v>0</v>
      </c>
      <c r="J68" s="5">
        <v>1000000</v>
      </c>
      <c r="K68" s="5">
        <v>1000000</v>
      </c>
    </row>
    <row r="69" spans="1:11" x14ac:dyDescent="0.3">
      <c r="A69" s="9" t="s">
        <v>950</v>
      </c>
      <c r="B69" s="5" t="s">
        <v>569</v>
      </c>
      <c r="C69" s="5">
        <v>3</v>
      </c>
      <c r="D69" s="5">
        <v>15000</v>
      </c>
      <c r="E69" s="5">
        <v>13690600000</v>
      </c>
      <c r="F69" s="5">
        <v>912220</v>
      </c>
      <c r="G69" s="5">
        <v>935000</v>
      </c>
      <c r="H69" s="5">
        <v>912710</v>
      </c>
      <c r="I69" s="5">
        <v>0.05</v>
      </c>
      <c r="J69" s="5">
        <v>901060</v>
      </c>
      <c r="K69" s="5">
        <v>935000</v>
      </c>
    </row>
    <row r="70" spans="1:11" x14ac:dyDescent="0.3">
      <c r="A70" s="9" t="s">
        <v>1206</v>
      </c>
      <c r="B70" s="5" t="s">
        <v>1187</v>
      </c>
      <c r="C70" s="5">
        <v>1</v>
      </c>
      <c r="D70" s="5">
        <v>10000</v>
      </c>
      <c r="E70" s="5">
        <v>8700000000</v>
      </c>
      <c r="F70" s="5">
        <v>888900</v>
      </c>
      <c r="G70" s="5">
        <v>870000</v>
      </c>
      <c r="H70" s="5">
        <v>870000</v>
      </c>
      <c r="I70" s="5">
        <v>-2.13</v>
      </c>
      <c r="J70" s="5">
        <v>870000</v>
      </c>
      <c r="K70" s="5">
        <v>870000</v>
      </c>
    </row>
    <row r="71" spans="1:11" x14ac:dyDescent="0.3">
      <c r="A71" s="9" t="s">
        <v>1907</v>
      </c>
      <c r="B71" s="5" t="s">
        <v>1908</v>
      </c>
      <c r="C71" s="5">
        <v>6</v>
      </c>
      <c r="D71" s="5">
        <v>1130000</v>
      </c>
      <c r="E71" s="5">
        <v>1099230100000</v>
      </c>
      <c r="F71" s="5">
        <v>979730</v>
      </c>
      <c r="G71" s="5">
        <v>972770</v>
      </c>
      <c r="H71" s="5">
        <v>972770</v>
      </c>
      <c r="I71" s="5">
        <v>-0.71</v>
      </c>
      <c r="J71" s="5">
        <v>972770</v>
      </c>
      <c r="K71" s="5">
        <v>972770</v>
      </c>
    </row>
    <row r="72" spans="1:11" x14ac:dyDescent="0.3">
      <c r="A72" s="9" t="s">
        <v>1577</v>
      </c>
      <c r="B72" s="5" t="s">
        <v>1578</v>
      </c>
      <c r="C72" s="5">
        <v>2</v>
      </c>
      <c r="D72" s="5">
        <v>1360000</v>
      </c>
      <c r="E72" s="5">
        <v>1281802040000</v>
      </c>
      <c r="F72" s="5">
        <v>950000</v>
      </c>
      <c r="G72" s="5">
        <v>942603</v>
      </c>
      <c r="H72" s="5">
        <v>942501</v>
      </c>
      <c r="I72" s="5">
        <v>-0.79</v>
      </c>
      <c r="J72" s="5">
        <v>942400</v>
      </c>
      <c r="K72" s="5">
        <v>942603</v>
      </c>
    </row>
    <row r="73" spans="1:11" x14ac:dyDescent="0.3">
      <c r="A73" s="9" t="s">
        <v>1438</v>
      </c>
      <c r="B73" s="5" t="s">
        <v>1439</v>
      </c>
      <c r="C73" s="5">
        <v>2</v>
      </c>
      <c r="D73" s="5">
        <v>10000000</v>
      </c>
      <c r="E73" s="5">
        <v>9106810000000</v>
      </c>
      <c r="F73" s="5">
        <v>1013000</v>
      </c>
      <c r="G73" s="5">
        <v>910762</v>
      </c>
      <c r="H73" s="5">
        <v>910681</v>
      </c>
      <c r="I73" s="5">
        <v>-10.1</v>
      </c>
      <c r="J73" s="5">
        <v>910600</v>
      </c>
      <c r="K73" s="5">
        <v>910762</v>
      </c>
    </row>
    <row r="74" spans="1:11" x14ac:dyDescent="0.3">
      <c r="A74" s="9" t="s">
        <v>322</v>
      </c>
      <c r="B74" s="5" t="s">
        <v>321</v>
      </c>
      <c r="C74" s="5">
        <v>3383</v>
      </c>
      <c r="D74" s="5">
        <v>27356885</v>
      </c>
      <c r="E74" s="5">
        <v>400900019840</v>
      </c>
      <c r="F74" s="5">
        <v>14630</v>
      </c>
      <c r="G74" s="5">
        <v>15200</v>
      </c>
      <c r="H74" s="5">
        <v>14650</v>
      </c>
      <c r="I74" s="5">
        <v>0.14000000000000001</v>
      </c>
      <c r="J74" s="5">
        <v>14310</v>
      </c>
      <c r="K74" s="5">
        <v>15200</v>
      </c>
    </row>
    <row r="75" spans="1:11" x14ac:dyDescent="0.3">
      <c r="A75" s="9" t="s">
        <v>1629</v>
      </c>
      <c r="B75" s="5" t="s">
        <v>321</v>
      </c>
      <c r="C75" s="5">
        <v>134</v>
      </c>
      <c r="D75" s="5">
        <v>13400000</v>
      </c>
      <c r="E75" s="5">
        <v>13400000</v>
      </c>
      <c r="F75" s="5">
        <v>14630</v>
      </c>
      <c r="G75" s="5">
        <v>1</v>
      </c>
      <c r="H75" s="5">
        <v>1</v>
      </c>
      <c r="I75" s="5">
        <v>-99.99</v>
      </c>
      <c r="J75" s="5">
        <v>1</v>
      </c>
      <c r="K75" s="5">
        <v>1</v>
      </c>
    </row>
    <row r="76" spans="1:11" x14ac:dyDescent="0.3">
      <c r="A76" s="9" t="s">
        <v>1060</v>
      </c>
      <c r="B76" s="5" t="s">
        <v>1061</v>
      </c>
      <c r="C76" s="5">
        <v>4079</v>
      </c>
      <c r="D76" s="5">
        <v>4919652</v>
      </c>
      <c r="E76" s="5">
        <v>117219944770</v>
      </c>
      <c r="F76" s="5">
        <v>22840</v>
      </c>
      <c r="G76" s="5">
        <v>23910</v>
      </c>
      <c r="H76" s="5">
        <v>23830</v>
      </c>
      <c r="I76" s="5">
        <v>4.33</v>
      </c>
      <c r="J76" s="5">
        <v>23020</v>
      </c>
      <c r="K76" s="5">
        <v>23980</v>
      </c>
    </row>
    <row r="77" spans="1:11" x14ac:dyDescent="0.3">
      <c r="A77" s="9" t="s">
        <v>157</v>
      </c>
      <c r="B77" s="5" t="s">
        <v>156</v>
      </c>
      <c r="C77" s="5">
        <v>517</v>
      </c>
      <c r="D77" s="5">
        <v>3767683</v>
      </c>
      <c r="E77" s="5">
        <v>64381129260</v>
      </c>
      <c r="F77" s="5">
        <v>16840</v>
      </c>
      <c r="G77" s="5">
        <v>16850</v>
      </c>
      <c r="H77" s="5">
        <v>17090</v>
      </c>
      <c r="I77" s="5">
        <v>1.48</v>
      </c>
      <c r="J77" s="5">
        <v>16850</v>
      </c>
      <c r="K77" s="5">
        <v>17670</v>
      </c>
    </row>
    <row r="78" spans="1:11" x14ac:dyDescent="0.3">
      <c r="A78" s="9" t="s">
        <v>84</v>
      </c>
      <c r="B78" s="5" t="s">
        <v>83</v>
      </c>
      <c r="C78" s="5">
        <v>1388</v>
      </c>
      <c r="D78" s="5">
        <v>10994006</v>
      </c>
      <c r="E78" s="5">
        <v>272491875300</v>
      </c>
      <c r="F78" s="5">
        <v>23650</v>
      </c>
      <c r="G78" s="5">
        <v>24800</v>
      </c>
      <c r="H78" s="5">
        <v>24800</v>
      </c>
      <c r="I78" s="5">
        <v>4.8600000000000003</v>
      </c>
      <c r="J78" s="5">
        <v>24300</v>
      </c>
      <c r="K78" s="5">
        <v>24800</v>
      </c>
    </row>
    <row r="79" spans="1:11" x14ac:dyDescent="0.3">
      <c r="A79" s="9" t="s">
        <v>611</v>
      </c>
      <c r="B79" s="5" t="s">
        <v>612</v>
      </c>
      <c r="C79" s="5">
        <v>18</v>
      </c>
      <c r="D79" s="5">
        <v>73071</v>
      </c>
      <c r="E79" s="5">
        <v>468270960</v>
      </c>
      <c r="F79" s="5">
        <v>6490</v>
      </c>
      <c r="G79" s="5">
        <v>6370</v>
      </c>
      <c r="H79" s="5">
        <v>6490</v>
      </c>
      <c r="I79" s="5">
        <v>0</v>
      </c>
      <c r="J79" s="5">
        <v>6370</v>
      </c>
      <c r="K79" s="5">
        <v>6530</v>
      </c>
    </row>
    <row r="80" spans="1:11" x14ac:dyDescent="0.3">
      <c r="A80" s="9" t="s">
        <v>213</v>
      </c>
      <c r="B80" s="5" t="s">
        <v>212</v>
      </c>
      <c r="C80" s="5">
        <v>30</v>
      </c>
      <c r="D80" s="5">
        <v>533261</v>
      </c>
      <c r="E80" s="5">
        <v>5370258556</v>
      </c>
      <c r="F80" s="5">
        <v>10063</v>
      </c>
      <c r="G80" s="5">
        <v>10061</v>
      </c>
      <c r="H80" s="5">
        <v>10071</v>
      </c>
      <c r="I80" s="5">
        <v>0.08</v>
      </c>
      <c r="J80" s="5">
        <v>10060</v>
      </c>
      <c r="K80" s="5">
        <v>10072</v>
      </c>
    </row>
    <row r="81" spans="1:11" x14ac:dyDescent="0.3">
      <c r="A81" s="9" t="s">
        <v>105</v>
      </c>
      <c r="B81" s="5" t="s">
        <v>104</v>
      </c>
      <c r="C81" s="5">
        <v>2841</v>
      </c>
      <c r="D81" s="5">
        <v>2214211</v>
      </c>
      <c r="E81" s="5">
        <v>214186039400</v>
      </c>
      <c r="F81" s="5">
        <v>94050</v>
      </c>
      <c r="G81" s="5">
        <v>95200</v>
      </c>
      <c r="H81" s="5">
        <v>96750</v>
      </c>
      <c r="I81" s="5">
        <v>2.87</v>
      </c>
      <c r="J81" s="5">
        <v>94100</v>
      </c>
      <c r="K81" s="5">
        <v>98500</v>
      </c>
    </row>
    <row r="82" spans="1:11" x14ac:dyDescent="0.3">
      <c r="A82" s="9" t="s">
        <v>1792</v>
      </c>
      <c r="B82" s="5" t="s">
        <v>1793</v>
      </c>
      <c r="C82" s="5">
        <v>10</v>
      </c>
      <c r="D82" s="5">
        <v>2000000</v>
      </c>
      <c r="E82" s="5">
        <v>2000000000000</v>
      </c>
      <c r="F82" s="5">
        <v>1000000</v>
      </c>
      <c r="G82" s="5">
        <v>1000000</v>
      </c>
      <c r="H82" s="5">
        <v>1000000</v>
      </c>
      <c r="I82" s="5">
        <v>0</v>
      </c>
      <c r="J82" s="5">
        <v>1000000</v>
      </c>
      <c r="K82" s="5">
        <v>1000000</v>
      </c>
    </row>
    <row r="83" spans="1:11" x14ac:dyDescent="0.3">
      <c r="A83" s="9" t="s">
        <v>189</v>
      </c>
      <c r="B83" s="5" t="s">
        <v>188</v>
      </c>
      <c r="C83" s="5">
        <v>63</v>
      </c>
      <c r="D83" s="5">
        <v>126363</v>
      </c>
      <c r="E83" s="5">
        <v>2518352743</v>
      </c>
      <c r="F83" s="5">
        <v>19666</v>
      </c>
      <c r="G83" s="5">
        <v>19845</v>
      </c>
      <c r="H83" s="5">
        <v>19930</v>
      </c>
      <c r="I83" s="5">
        <v>1.34</v>
      </c>
      <c r="J83" s="5">
        <v>19700</v>
      </c>
      <c r="K83" s="5">
        <v>20243</v>
      </c>
    </row>
    <row r="84" spans="1:11" x14ac:dyDescent="0.3">
      <c r="A84" s="9" t="s">
        <v>250</v>
      </c>
      <c r="B84" s="5" t="s">
        <v>249</v>
      </c>
      <c r="C84" s="5">
        <v>292</v>
      </c>
      <c r="D84" s="5">
        <v>8275018</v>
      </c>
      <c r="E84" s="5">
        <v>146573198394</v>
      </c>
      <c r="F84" s="5">
        <v>17642</v>
      </c>
      <c r="G84" s="5">
        <v>17654</v>
      </c>
      <c r="H84" s="5">
        <v>17713</v>
      </c>
      <c r="I84" s="5">
        <v>0.4</v>
      </c>
      <c r="J84" s="5">
        <v>17653</v>
      </c>
      <c r="K84" s="5">
        <v>17718</v>
      </c>
    </row>
    <row r="85" spans="1:11" x14ac:dyDescent="0.3">
      <c r="A85" s="9" t="s">
        <v>775</v>
      </c>
      <c r="B85" s="5" t="s">
        <v>775</v>
      </c>
      <c r="C85" s="5">
        <v>400</v>
      </c>
      <c r="D85" s="5">
        <v>2665560</v>
      </c>
      <c r="E85" s="5">
        <v>4286624399</v>
      </c>
      <c r="F85" s="5">
        <v>1579</v>
      </c>
      <c r="G85" s="5">
        <v>1591</v>
      </c>
      <c r="H85" s="5">
        <v>1591</v>
      </c>
      <c r="I85" s="5">
        <v>0.76</v>
      </c>
      <c r="J85" s="5">
        <v>1578</v>
      </c>
      <c r="K85" s="5">
        <v>1610</v>
      </c>
    </row>
    <row r="86" spans="1:11" x14ac:dyDescent="0.3">
      <c r="A86" s="9" t="s">
        <v>1128</v>
      </c>
      <c r="B86" s="5" t="s">
        <v>1129</v>
      </c>
      <c r="C86" s="5">
        <v>933</v>
      </c>
      <c r="D86" s="5">
        <v>46427950</v>
      </c>
      <c r="E86" s="5">
        <v>81309802275</v>
      </c>
      <c r="F86" s="5">
        <v>1645</v>
      </c>
      <c r="G86" s="5">
        <v>1758</v>
      </c>
      <c r="H86" s="5">
        <v>1751</v>
      </c>
      <c r="I86" s="5">
        <v>6.44</v>
      </c>
      <c r="J86" s="5">
        <v>1702</v>
      </c>
      <c r="K86" s="5">
        <v>1760</v>
      </c>
    </row>
    <row r="87" spans="1:11" x14ac:dyDescent="0.3">
      <c r="A87" s="9" t="s">
        <v>342</v>
      </c>
      <c r="B87" s="5" t="s">
        <v>652</v>
      </c>
      <c r="C87" s="5">
        <v>4173</v>
      </c>
      <c r="D87" s="5">
        <v>2100645</v>
      </c>
      <c r="E87" s="5">
        <v>842384716869</v>
      </c>
      <c r="F87" s="5">
        <v>394098</v>
      </c>
      <c r="G87" s="5">
        <v>408001</v>
      </c>
      <c r="H87" s="5">
        <v>401012</v>
      </c>
      <c r="I87" s="5">
        <v>1.75</v>
      </c>
      <c r="J87" s="5">
        <v>390250</v>
      </c>
      <c r="K87" s="5">
        <v>411553</v>
      </c>
    </row>
    <row r="88" spans="1:11" x14ac:dyDescent="0.3">
      <c r="A88" s="9" t="s">
        <v>1275</v>
      </c>
      <c r="B88" s="5" t="s">
        <v>652</v>
      </c>
      <c r="C88" s="5">
        <v>87</v>
      </c>
      <c r="D88" s="5">
        <v>870000</v>
      </c>
      <c r="E88" s="5">
        <v>870000</v>
      </c>
      <c r="F88" s="5">
        <v>394098</v>
      </c>
      <c r="G88" s="5">
        <v>1</v>
      </c>
      <c r="H88" s="5">
        <v>1</v>
      </c>
      <c r="I88" s="5">
        <v>-100</v>
      </c>
      <c r="J88" s="5">
        <v>1</v>
      </c>
      <c r="K88" s="5">
        <v>1</v>
      </c>
    </row>
    <row r="89" spans="1:11" x14ac:dyDescent="0.3">
      <c r="A89" s="9" t="s">
        <v>1382</v>
      </c>
      <c r="B89" s="5" t="s">
        <v>1383</v>
      </c>
      <c r="C89" s="5">
        <v>19</v>
      </c>
      <c r="D89" s="5">
        <v>448018</v>
      </c>
      <c r="E89" s="5">
        <v>4760824734</v>
      </c>
      <c r="F89" s="5">
        <v>10601</v>
      </c>
      <c r="G89" s="5">
        <v>10627</v>
      </c>
      <c r="H89" s="5">
        <v>10626</v>
      </c>
      <c r="I89" s="5">
        <v>0.24</v>
      </c>
      <c r="J89" s="5">
        <v>10626</v>
      </c>
      <c r="K89" s="5">
        <v>10627</v>
      </c>
    </row>
    <row r="90" spans="1:11" x14ac:dyDescent="0.3">
      <c r="A90" s="9" t="s">
        <v>1644</v>
      </c>
      <c r="B90" s="5" t="s">
        <v>1645</v>
      </c>
      <c r="C90" s="5">
        <v>422</v>
      </c>
      <c r="D90" s="5">
        <v>9023875</v>
      </c>
      <c r="E90" s="5">
        <v>18177226672</v>
      </c>
      <c r="F90" s="5">
        <v>1933</v>
      </c>
      <c r="G90" s="5">
        <v>2019</v>
      </c>
      <c r="H90" s="5">
        <v>2014</v>
      </c>
      <c r="I90" s="5">
        <v>4.1900000000000004</v>
      </c>
      <c r="J90" s="5">
        <v>1902</v>
      </c>
      <c r="K90" s="5">
        <v>2029</v>
      </c>
    </row>
    <row r="91" spans="1:11" x14ac:dyDescent="0.3">
      <c r="A91" s="9" t="s">
        <v>47</v>
      </c>
      <c r="B91" s="5" t="s">
        <v>46</v>
      </c>
      <c r="C91" s="5">
        <v>5321</v>
      </c>
      <c r="D91" s="5">
        <v>81651680</v>
      </c>
      <c r="E91" s="5">
        <v>4326784648554</v>
      </c>
      <c r="F91" s="5">
        <v>52848</v>
      </c>
      <c r="G91" s="5">
        <v>52991</v>
      </c>
      <c r="H91" s="5">
        <v>52991</v>
      </c>
      <c r="I91" s="5">
        <v>0.27</v>
      </c>
      <c r="J91" s="5">
        <v>52990</v>
      </c>
      <c r="K91" s="5">
        <v>52992</v>
      </c>
    </row>
    <row r="92" spans="1:11" x14ac:dyDescent="0.3">
      <c r="A92" s="9" t="s">
        <v>185</v>
      </c>
      <c r="B92" s="5" t="s">
        <v>132</v>
      </c>
      <c r="C92" s="5">
        <v>400</v>
      </c>
      <c r="D92" s="5">
        <v>84779006</v>
      </c>
      <c r="E92" s="5">
        <v>848443063676</v>
      </c>
      <c r="F92" s="5">
        <v>10167</v>
      </c>
      <c r="G92" s="5">
        <v>10006</v>
      </c>
      <c r="H92" s="5">
        <v>10008</v>
      </c>
      <c r="I92" s="5">
        <v>-1.56</v>
      </c>
      <c r="J92" s="5">
        <v>10006</v>
      </c>
      <c r="K92" s="5">
        <v>10012</v>
      </c>
    </row>
    <row r="93" spans="1:11" x14ac:dyDescent="0.3">
      <c r="A93" s="9" t="s">
        <v>1707</v>
      </c>
      <c r="B93" s="5" t="s">
        <v>132</v>
      </c>
      <c r="C93" s="5">
        <v>500</v>
      </c>
      <c r="D93" s="5">
        <v>50000000</v>
      </c>
      <c r="E93" s="5">
        <v>50000000</v>
      </c>
      <c r="F93" s="5">
        <v>10167</v>
      </c>
      <c r="G93" s="5">
        <v>1</v>
      </c>
      <c r="H93" s="5">
        <v>1</v>
      </c>
      <c r="I93" s="5">
        <v>-99.99</v>
      </c>
      <c r="J93" s="5">
        <v>1</v>
      </c>
      <c r="K93" s="5">
        <v>1</v>
      </c>
    </row>
    <row r="94" spans="1:11" x14ac:dyDescent="0.3">
      <c r="A94" s="9" t="s">
        <v>1771</v>
      </c>
      <c r="B94" s="5" t="s">
        <v>132</v>
      </c>
      <c r="C94" s="5">
        <v>1</v>
      </c>
      <c r="D94" s="5">
        <v>50000000</v>
      </c>
      <c r="E94" s="5">
        <v>500300000000</v>
      </c>
      <c r="F94" s="5">
        <v>10167</v>
      </c>
      <c r="G94" s="5">
        <v>10006</v>
      </c>
      <c r="H94" s="5">
        <v>10006</v>
      </c>
      <c r="I94" s="5">
        <v>-1.58</v>
      </c>
      <c r="J94" s="5">
        <v>10006</v>
      </c>
      <c r="K94" s="5">
        <v>10006</v>
      </c>
    </row>
    <row r="95" spans="1:11" x14ac:dyDescent="0.3">
      <c r="A95" s="9" t="s">
        <v>491</v>
      </c>
      <c r="B95" s="5" t="s">
        <v>492</v>
      </c>
      <c r="C95" s="5">
        <v>1362</v>
      </c>
      <c r="D95" s="5">
        <v>3468375</v>
      </c>
      <c r="E95" s="5">
        <v>85428908600</v>
      </c>
      <c r="F95" s="5">
        <v>23900</v>
      </c>
      <c r="G95" s="5">
        <v>24300</v>
      </c>
      <c r="H95" s="5">
        <v>24650</v>
      </c>
      <c r="I95" s="5">
        <v>3.14</v>
      </c>
      <c r="J95" s="5">
        <v>24000</v>
      </c>
      <c r="K95" s="5">
        <v>25400</v>
      </c>
    </row>
    <row r="96" spans="1:11" x14ac:dyDescent="0.3">
      <c r="A96" s="9" t="s">
        <v>1623</v>
      </c>
      <c r="B96" s="5" t="s">
        <v>107</v>
      </c>
      <c r="C96" s="5">
        <v>17</v>
      </c>
      <c r="D96" s="5">
        <v>1075500000</v>
      </c>
      <c r="E96" s="5">
        <v>1075500000</v>
      </c>
      <c r="F96" s="5">
        <v>19647</v>
      </c>
      <c r="G96" s="5">
        <v>1</v>
      </c>
      <c r="H96" s="5">
        <v>1</v>
      </c>
      <c r="I96" s="5">
        <v>-99.99</v>
      </c>
      <c r="J96" s="5">
        <v>1</v>
      </c>
      <c r="K96" s="5">
        <v>1</v>
      </c>
    </row>
    <row r="97" spans="1:11" x14ac:dyDescent="0.3">
      <c r="A97" s="9" t="s">
        <v>1731</v>
      </c>
      <c r="B97" s="5" t="s">
        <v>107</v>
      </c>
      <c r="C97" s="5">
        <v>18</v>
      </c>
      <c r="D97" s="5">
        <v>368945052</v>
      </c>
      <c r="E97" s="5">
        <v>7258624953048</v>
      </c>
      <c r="F97" s="5">
        <v>19647</v>
      </c>
      <c r="G97" s="5">
        <v>19674</v>
      </c>
      <c r="H97" s="5">
        <v>19674</v>
      </c>
      <c r="I97" s="5">
        <v>0.14000000000000001</v>
      </c>
      <c r="J97" s="5">
        <v>19674</v>
      </c>
      <c r="K97" s="5">
        <v>19674</v>
      </c>
    </row>
    <row r="98" spans="1:11" x14ac:dyDescent="0.3">
      <c r="A98" s="9" t="s">
        <v>566</v>
      </c>
      <c r="B98" s="5" t="s">
        <v>567</v>
      </c>
      <c r="C98" s="5">
        <v>589</v>
      </c>
      <c r="D98" s="5">
        <v>3891637</v>
      </c>
      <c r="E98" s="5">
        <v>70197566170</v>
      </c>
      <c r="F98" s="5">
        <v>17660</v>
      </c>
      <c r="G98" s="5">
        <v>18290</v>
      </c>
      <c r="H98" s="5">
        <v>17950</v>
      </c>
      <c r="I98" s="5">
        <v>1.64</v>
      </c>
      <c r="J98" s="5">
        <v>17660</v>
      </c>
      <c r="K98" s="5">
        <v>18480</v>
      </c>
    </row>
    <row r="99" spans="1:11" x14ac:dyDescent="0.3">
      <c r="A99" s="9" t="s">
        <v>308</v>
      </c>
      <c r="B99" s="5" t="s">
        <v>307</v>
      </c>
      <c r="C99" s="5">
        <v>94</v>
      </c>
      <c r="D99" s="5">
        <v>45713</v>
      </c>
      <c r="E99" s="5">
        <v>9071470870</v>
      </c>
      <c r="F99" s="5">
        <v>196960</v>
      </c>
      <c r="G99" s="5">
        <v>192060</v>
      </c>
      <c r="H99" s="5">
        <v>198440</v>
      </c>
      <c r="I99" s="5">
        <v>0.75</v>
      </c>
      <c r="J99" s="5">
        <v>192060</v>
      </c>
      <c r="K99" s="5">
        <v>202000</v>
      </c>
    </row>
    <row r="100" spans="1:11" x14ac:dyDescent="0.3">
      <c r="A100" s="9" t="s">
        <v>1831</v>
      </c>
      <c r="B100" s="5" t="s">
        <v>567</v>
      </c>
      <c r="C100" s="5">
        <v>1</v>
      </c>
      <c r="D100" s="5">
        <v>2400000</v>
      </c>
      <c r="E100" s="5">
        <v>43200000000</v>
      </c>
      <c r="F100" s="5">
        <v>17660</v>
      </c>
      <c r="G100" s="5">
        <v>18000</v>
      </c>
      <c r="H100" s="5">
        <v>18000</v>
      </c>
      <c r="I100" s="5">
        <v>1.93</v>
      </c>
      <c r="J100" s="5">
        <v>18000</v>
      </c>
      <c r="K100" s="5">
        <v>18000</v>
      </c>
    </row>
    <row r="101" spans="1:11" x14ac:dyDescent="0.3">
      <c r="A101" s="9" t="s">
        <v>1029</v>
      </c>
      <c r="B101" s="5" t="s">
        <v>1030</v>
      </c>
      <c r="C101" s="5">
        <v>183</v>
      </c>
      <c r="D101" s="5">
        <v>15393332</v>
      </c>
      <c r="E101" s="5">
        <v>203110746234</v>
      </c>
      <c r="F101" s="5">
        <v>12865</v>
      </c>
      <c r="G101" s="5">
        <v>13100</v>
      </c>
      <c r="H101" s="5">
        <v>13195</v>
      </c>
      <c r="I101" s="5">
        <v>2.57</v>
      </c>
      <c r="J101" s="5">
        <v>13010</v>
      </c>
      <c r="K101" s="5">
        <v>13490</v>
      </c>
    </row>
    <row r="102" spans="1:11" x14ac:dyDescent="0.3">
      <c r="A102" s="9" t="s">
        <v>1621</v>
      </c>
      <c r="B102" s="5" t="s">
        <v>1030</v>
      </c>
      <c r="C102" s="5">
        <v>15</v>
      </c>
      <c r="D102" s="5">
        <v>12900000</v>
      </c>
      <c r="E102" s="5">
        <v>12900000</v>
      </c>
      <c r="F102" s="5">
        <v>12865</v>
      </c>
      <c r="G102" s="5">
        <v>1</v>
      </c>
      <c r="H102" s="5">
        <v>1</v>
      </c>
      <c r="I102" s="5">
        <v>-99.99</v>
      </c>
      <c r="J102" s="5">
        <v>1</v>
      </c>
      <c r="K102" s="5">
        <v>1</v>
      </c>
    </row>
    <row r="103" spans="1:11" x14ac:dyDescent="0.3">
      <c r="A103" s="9" t="s">
        <v>223</v>
      </c>
      <c r="B103" s="5" t="s">
        <v>222</v>
      </c>
      <c r="C103" s="5">
        <v>4575</v>
      </c>
      <c r="D103" s="5">
        <v>39484800</v>
      </c>
      <c r="E103" s="5">
        <v>1829073919202</v>
      </c>
      <c r="F103" s="5">
        <v>46295</v>
      </c>
      <c r="G103" s="5">
        <v>46382</v>
      </c>
      <c r="H103" s="5">
        <v>46323</v>
      </c>
      <c r="I103" s="5">
        <v>0.06</v>
      </c>
      <c r="J103" s="5">
        <v>46302</v>
      </c>
      <c r="K103" s="5">
        <v>46382</v>
      </c>
    </row>
    <row r="104" spans="1:11" x14ac:dyDescent="0.3">
      <c r="A104" s="9" t="s">
        <v>1666</v>
      </c>
      <c r="B104" s="5" t="s">
        <v>222</v>
      </c>
      <c r="C104" s="5">
        <v>12</v>
      </c>
      <c r="D104" s="5">
        <v>9000000</v>
      </c>
      <c r="E104" s="5">
        <v>9000000</v>
      </c>
      <c r="F104" s="5">
        <v>46295</v>
      </c>
      <c r="G104" s="5">
        <v>1</v>
      </c>
      <c r="H104" s="5">
        <v>1</v>
      </c>
      <c r="I104" s="5">
        <v>-100</v>
      </c>
      <c r="J104" s="5">
        <v>1</v>
      </c>
      <c r="K104" s="5">
        <v>1</v>
      </c>
    </row>
    <row r="105" spans="1:11" x14ac:dyDescent="0.3">
      <c r="A105" s="9" t="s">
        <v>1678</v>
      </c>
      <c r="B105" s="5" t="s">
        <v>1679</v>
      </c>
      <c r="C105" s="5">
        <v>4</v>
      </c>
      <c r="D105" s="5">
        <v>100000</v>
      </c>
      <c r="E105" s="5">
        <v>97750000000</v>
      </c>
      <c r="F105" s="5">
        <v>981005</v>
      </c>
      <c r="G105" s="5">
        <v>977500</v>
      </c>
      <c r="H105" s="5">
        <v>977500</v>
      </c>
      <c r="I105" s="5">
        <v>-0.36</v>
      </c>
      <c r="J105" s="5">
        <v>977500</v>
      </c>
      <c r="K105" s="5">
        <v>977500</v>
      </c>
    </row>
    <row r="106" spans="1:11" x14ac:dyDescent="0.3">
      <c r="A106" s="9" t="s">
        <v>539</v>
      </c>
      <c r="B106" s="5" t="s">
        <v>540</v>
      </c>
      <c r="C106" s="5">
        <v>9</v>
      </c>
      <c r="D106" s="5">
        <v>8438</v>
      </c>
      <c r="E106" s="5">
        <v>7501202450</v>
      </c>
      <c r="F106" s="5">
        <v>886098</v>
      </c>
      <c r="G106" s="5">
        <v>888940</v>
      </c>
      <c r="H106" s="5">
        <v>888979</v>
      </c>
      <c r="I106" s="5">
        <v>0.33</v>
      </c>
      <c r="J106" s="5">
        <v>888890</v>
      </c>
      <c r="K106" s="5">
        <v>889000</v>
      </c>
    </row>
    <row r="107" spans="1:11" x14ac:dyDescent="0.3">
      <c r="A107" s="9" t="s">
        <v>1817</v>
      </c>
      <c r="B107" s="5" t="s">
        <v>1818</v>
      </c>
      <c r="C107" s="5">
        <v>1</v>
      </c>
      <c r="D107" s="5">
        <v>3500</v>
      </c>
      <c r="E107" s="5">
        <v>3024000000</v>
      </c>
      <c r="F107" s="5">
        <v>844000</v>
      </c>
      <c r="G107" s="5">
        <v>864000</v>
      </c>
      <c r="H107" s="5">
        <v>864000</v>
      </c>
      <c r="I107" s="5">
        <v>2.37</v>
      </c>
      <c r="J107" s="5">
        <v>864000</v>
      </c>
      <c r="K107" s="5">
        <v>864000</v>
      </c>
    </row>
    <row r="108" spans="1:11" x14ac:dyDescent="0.3">
      <c r="A108" s="9" t="s">
        <v>663</v>
      </c>
      <c r="B108" s="5" t="s">
        <v>664</v>
      </c>
      <c r="C108" s="5">
        <v>13</v>
      </c>
      <c r="D108" s="5">
        <v>11068</v>
      </c>
      <c r="E108" s="5">
        <v>9359479220</v>
      </c>
      <c r="F108" s="5">
        <v>840092</v>
      </c>
      <c r="G108" s="5">
        <v>843000</v>
      </c>
      <c r="H108" s="5">
        <v>845634</v>
      </c>
      <c r="I108" s="5">
        <v>0.66</v>
      </c>
      <c r="J108" s="5">
        <v>843000</v>
      </c>
      <c r="K108" s="5">
        <v>847299</v>
      </c>
    </row>
    <row r="109" spans="1:11" x14ac:dyDescent="0.3">
      <c r="A109" s="9" t="s">
        <v>199</v>
      </c>
      <c r="B109" s="5" t="s">
        <v>198</v>
      </c>
      <c r="C109" s="5">
        <v>7843</v>
      </c>
      <c r="D109" s="5">
        <v>18371041</v>
      </c>
      <c r="E109" s="5">
        <v>2167957039175</v>
      </c>
      <c r="F109" s="5">
        <v>116900</v>
      </c>
      <c r="G109" s="5">
        <v>119350</v>
      </c>
      <c r="H109" s="5">
        <v>118009</v>
      </c>
      <c r="I109" s="5">
        <v>0.95</v>
      </c>
      <c r="J109" s="5">
        <v>115041</v>
      </c>
      <c r="K109" s="5">
        <v>119690</v>
      </c>
    </row>
    <row r="110" spans="1:11" x14ac:dyDescent="0.3">
      <c r="A110" s="9" t="s">
        <v>1656</v>
      </c>
      <c r="B110" s="5" t="s">
        <v>198</v>
      </c>
      <c r="C110" s="5">
        <v>2</v>
      </c>
      <c r="D110" s="5">
        <v>1200000</v>
      </c>
      <c r="E110" s="5">
        <v>1200000</v>
      </c>
      <c r="F110" s="5">
        <v>116900</v>
      </c>
      <c r="G110" s="5">
        <v>1</v>
      </c>
      <c r="H110" s="5">
        <v>1</v>
      </c>
      <c r="I110" s="5">
        <v>-100</v>
      </c>
      <c r="J110" s="5">
        <v>1</v>
      </c>
      <c r="K110" s="5">
        <v>1</v>
      </c>
    </row>
    <row r="111" spans="1:11" x14ac:dyDescent="0.3">
      <c r="A111" s="9" t="s">
        <v>533</v>
      </c>
      <c r="B111" s="5" t="s">
        <v>534</v>
      </c>
      <c r="C111" s="5">
        <v>865</v>
      </c>
      <c r="D111" s="5">
        <v>28169330</v>
      </c>
      <c r="E111" s="5">
        <v>66287778574</v>
      </c>
      <c r="F111" s="5">
        <v>2333</v>
      </c>
      <c r="G111" s="5">
        <v>2400</v>
      </c>
      <c r="H111" s="5">
        <v>2353</v>
      </c>
      <c r="I111" s="5">
        <v>0.86</v>
      </c>
      <c r="J111" s="5">
        <v>2313</v>
      </c>
      <c r="K111" s="5">
        <v>2400</v>
      </c>
    </row>
    <row r="112" spans="1:11" x14ac:dyDescent="0.3">
      <c r="A112" s="9" t="s">
        <v>230</v>
      </c>
      <c r="B112" s="5" t="s">
        <v>229</v>
      </c>
      <c r="C112" s="5">
        <v>150</v>
      </c>
      <c r="D112" s="5">
        <v>130974</v>
      </c>
      <c r="E112" s="5">
        <v>20840837081</v>
      </c>
      <c r="F112" s="5">
        <v>160635</v>
      </c>
      <c r="G112" s="5">
        <v>163996</v>
      </c>
      <c r="H112" s="5">
        <v>159122</v>
      </c>
      <c r="I112" s="5">
        <v>-0.94</v>
      </c>
      <c r="J112" s="5">
        <v>156210</v>
      </c>
      <c r="K112" s="5">
        <v>163996</v>
      </c>
    </row>
    <row r="113" spans="1:11" x14ac:dyDescent="0.3">
      <c r="A113" s="9" t="s">
        <v>281</v>
      </c>
      <c r="B113" s="5" t="s">
        <v>280</v>
      </c>
      <c r="C113" s="5">
        <v>214</v>
      </c>
      <c r="D113" s="5">
        <v>2135927</v>
      </c>
      <c r="E113" s="5">
        <v>10738294132</v>
      </c>
      <c r="F113" s="5">
        <v>4902</v>
      </c>
      <c r="G113" s="5">
        <v>5030</v>
      </c>
      <c r="H113" s="5">
        <v>4946</v>
      </c>
      <c r="I113" s="5">
        <v>0.9</v>
      </c>
      <c r="J113" s="5">
        <v>4953</v>
      </c>
      <c r="K113" s="5">
        <v>5147</v>
      </c>
    </row>
    <row r="114" spans="1:11" x14ac:dyDescent="0.3">
      <c r="A114" s="9" t="s">
        <v>957</v>
      </c>
      <c r="B114" s="5" t="s">
        <v>958</v>
      </c>
      <c r="C114" s="5">
        <v>1398</v>
      </c>
      <c r="D114" s="5">
        <v>914433</v>
      </c>
      <c r="E114" s="5">
        <v>7858815100</v>
      </c>
      <c r="F114" s="5">
        <v>8580</v>
      </c>
      <c r="G114" s="5">
        <v>8570</v>
      </c>
      <c r="H114" s="5">
        <v>8580</v>
      </c>
      <c r="I114" s="5">
        <v>0</v>
      </c>
      <c r="J114" s="5">
        <v>8560</v>
      </c>
      <c r="K114" s="5">
        <v>8640</v>
      </c>
    </row>
    <row r="115" spans="1:11" x14ac:dyDescent="0.3">
      <c r="A115" s="9" t="s">
        <v>145</v>
      </c>
      <c r="B115" s="5" t="s">
        <v>144</v>
      </c>
      <c r="C115" s="5">
        <v>1463</v>
      </c>
      <c r="D115" s="5">
        <v>46437102</v>
      </c>
      <c r="E115" s="5">
        <v>462202861050</v>
      </c>
      <c r="F115" s="5">
        <v>9884</v>
      </c>
      <c r="G115" s="5">
        <v>9930</v>
      </c>
      <c r="H115" s="5">
        <v>9953</v>
      </c>
      <c r="I115" s="5">
        <v>0.7</v>
      </c>
      <c r="J115" s="5">
        <v>9894</v>
      </c>
      <c r="K115" s="5">
        <v>10001</v>
      </c>
    </row>
    <row r="116" spans="1:11" x14ac:dyDescent="0.3">
      <c r="A116" s="9" t="s">
        <v>225</v>
      </c>
      <c r="B116" s="5" t="s">
        <v>224</v>
      </c>
      <c r="C116" s="5">
        <v>413</v>
      </c>
      <c r="D116" s="5">
        <v>2454329</v>
      </c>
      <c r="E116" s="5">
        <v>40033450550</v>
      </c>
      <c r="F116" s="5">
        <v>16150</v>
      </c>
      <c r="G116" s="5">
        <v>16400</v>
      </c>
      <c r="H116" s="5">
        <v>16310</v>
      </c>
      <c r="I116" s="5">
        <v>0.99</v>
      </c>
      <c r="J116" s="5">
        <v>16000</v>
      </c>
      <c r="K116" s="5">
        <v>16480</v>
      </c>
    </row>
    <row r="117" spans="1:11" x14ac:dyDescent="0.3">
      <c r="A117" s="9" t="s">
        <v>1714</v>
      </c>
      <c r="B117" s="5" t="s">
        <v>1715</v>
      </c>
      <c r="C117" s="5">
        <v>5766</v>
      </c>
      <c r="D117" s="5">
        <v>18811583</v>
      </c>
      <c r="E117" s="5">
        <v>476709037850</v>
      </c>
      <c r="F117" s="5">
        <v>23700</v>
      </c>
      <c r="G117" s="5">
        <v>25350</v>
      </c>
      <c r="H117" s="5">
        <v>25350</v>
      </c>
      <c r="I117" s="5">
        <v>6.96</v>
      </c>
      <c r="J117" s="5">
        <v>24800</v>
      </c>
      <c r="K117" s="5">
        <v>25350</v>
      </c>
    </row>
    <row r="118" spans="1:11" x14ac:dyDescent="0.3">
      <c r="A118" s="9" t="s">
        <v>129</v>
      </c>
      <c r="B118" s="5" t="s">
        <v>128</v>
      </c>
      <c r="C118" s="5">
        <v>12061</v>
      </c>
      <c r="D118" s="5">
        <v>16639913</v>
      </c>
      <c r="E118" s="5">
        <v>874910290710</v>
      </c>
      <c r="F118" s="5">
        <v>54790</v>
      </c>
      <c r="G118" s="5">
        <v>55700</v>
      </c>
      <c r="H118" s="5">
        <v>52580</v>
      </c>
      <c r="I118" s="5">
        <v>-4.03</v>
      </c>
      <c r="J118" s="5">
        <v>51080</v>
      </c>
      <c r="K118" s="5">
        <v>55700</v>
      </c>
    </row>
    <row r="119" spans="1:11" x14ac:dyDescent="0.3">
      <c r="A119" s="9" t="s">
        <v>285</v>
      </c>
      <c r="B119" s="5" t="s">
        <v>15</v>
      </c>
      <c r="C119" s="5">
        <v>22216</v>
      </c>
      <c r="D119" s="5">
        <v>267399274</v>
      </c>
      <c r="E119" s="5">
        <v>5835236641500</v>
      </c>
      <c r="F119" s="5">
        <v>21910</v>
      </c>
      <c r="G119" s="5">
        <v>22200</v>
      </c>
      <c r="H119" s="5">
        <v>21820</v>
      </c>
      <c r="I119" s="5">
        <v>-0.41</v>
      </c>
      <c r="J119" s="5">
        <v>20900</v>
      </c>
      <c r="K119" s="5">
        <v>22630</v>
      </c>
    </row>
    <row r="120" spans="1:11" x14ac:dyDescent="0.3">
      <c r="A120" s="9" t="s">
        <v>1604</v>
      </c>
      <c r="B120" s="5" t="s">
        <v>15</v>
      </c>
      <c r="C120" s="5">
        <v>101</v>
      </c>
      <c r="D120" s="5">
        <v>10100000</v>
      </c>
      <c r="E120" s="5">
        <v>10100000</v>
      </c>
      <c r="F120" s="5">
        <v>21910</v>
      </c>
      <c r="G120" s="5">
        <v>1</v>
      </c>
      <c r="H120" s="5">
        <v>1</v>
      </c>
      <c r="I120" s="5">
        <v>-100</v>
      </c>
      <c r="J120" s="5">
        <v>1</v>
      </c>
      <c r="K120" s="5">
        <v>1</v>
      </c>
    </row>
    <row r="121" spans="1:11" x14ac:dyDescent="0.3">
      <c r="A121" s="9" t="s">
        <v>29</v>
      </c>
      <c r="B121" s="5" t="s">
        <v>28</v>
      </c>
      <c r="C121" s="5">
        <v>2512</v>
      </c>
      <c r="D121" s="5">
        <v>9707969</v>
      </c>
      <c r="E121" s="5">
        <v>160495298310</v>
      </c>
      <c r="F121" s="5">
        <v>15890</v>
      </c>
      <c r="G121" s="5">
        <v>16150</v>
      </c>
      <c r="H121" s="5">
        <v>16530</v>
      </c>
      <c r="I121" s="5">
        <v>4.03</v>
      </c>
      <c r="J121" s="5">
        <v>15930</v>
      </c>
      <c r="K121" s="5">
        <v>16900</v>
      </c>
    </row>
    <row r="122" spans="1:11" x14ac:dyDescent="0.3">
      <c r="A122" s="9" t="s">
        <v>68</v>
      </c>
      <c r="B122" s="5" t="s">
        <v>67</v>
      </c>
      <c r="C122" s="5">
        <v>39</v>
      </c>
      <c r="D122" s="5">
        <v>311649</v>
      </c>
      <c r="E122" s="5">
        <v>4292975072</v>
      </c>
      <c r="F122" s="5">
        <v>13335</v>
      </c>
      <c r="G122" s="5">
        <v>13731</v>
      </c>
      <c r="H122" s="5">
        <v>13775</v>
      </c>
      <c r="I122" s="5">
        <v>3.3</v>
      </c>
      <c r="J122" s="5">
        <v>13690</v>
      </c>
      <c r="K122" s="5">
        <v>13888</v>
      </c>
    </row>
    <row r="123" spans="1:11" x14ac:dyDescent="0.3">
      <c r="A123" s="9" t="s">
        <v>1673</v>
      </c>
      <c r="B123" s="5" t="s">
        <v>67</v>
      </c>
      <c r="C123" s="5">
        <v>6</v>
      </c>
      <c r="D123" s="5">
        <v>52921561</v>
      </c>
      <c r="E123" s="5">
        <v>52921561</v>
      </c>
      <c r="F123" s="5">
        <v>13335</v>
      </c>
      <c r="G123" s="5">
        <v>1</v>
      </c>
      <c r="H123" s="5">
        <v>1</v>
      </c>
      <c r="I123" s="5">
        <v>-99.99</v>
      </c>
      <c r="J123" s="5">
        <v>1</v>
      </c>
      <c r="K123" s="5">
        <v>1</v>
      </c>
    </row>
    <row r="124" spans="1:11" x14ac:dyDescent="0.3">
      <c r="A124" s="9" t="s">
        <v>93</v>
      </c>
      <c r="B124" s="5" t="s">
        <v>92</v>
      </c>
      <c r="C124" s="5">
        <v>165</v>
      </c>
      <c r="D124" s="5">
        <v>7594869</v>
      </c>
      <c r="E124" s="5">
        <v>206024438341</v>
      </c>
      <c r="F124" s="5">
        <v>27077</v>
      </c>
      <c r="G124" s="5">
        <v>27094</v>
      </c>
      <c r="H124" s="5">
        <v>27127</v>
      </c>
      <c r="I124" s="5">
        <v>0.18</v>
      </c>
      <c r="J124" s="5">
        <v>27094</v>
      </c>
      <c r="K124" s="5">
        <v>27146</v>
      </c>
    </row>
    <row r="125" spans="1:11" x14ac:dyDescent="0.3">
      <c r="A125" s="9" t="s">
        <v>1626</v>
      </c>
      <c r="B125" s="5" t="s">
        <v>92</v>
      </c>
      <c r="C125" s="5">
        <v>3</v>
      </c>
      <c r="D125" s="5">
        <v>126200000</v>
      </c>
      <c r="E125" s="5">
        <v>3419540000000</v>
      </c>
      <c r="F125" s="5">
        <v>27077</v>
      </c>
      <c r="G125" s="5">
        <v>27090</v>
      </c>
      <c r="H125" s="5">
        <v>27096</v>
      </c>
      <c r="I125" s="5">
        <v>7.0000000000000007E-2</v>
      </c>
      <c r="J125" s="5">
        <v>27090</v>
      </c>
      <c r="K125" s="5">
        <v>27100</v>
      </c>
    </row>
    <row r="126" spans="1:11" x14ac:dyDescent="0.3">
      <c r="A126" s="9" t="s">
        <v>1077</v>
      </c>
      <c r="B126" s="5" t="s">
        <v>1078</v>
      </c>
      <c r="C126" s="5">
        <v>160</v>
      </c>
      <c r="D126" s="5">
        <v>1951389</v>
      </c>
      <c r="E126" s="5">
        <v>13437022470</v>
      </c>
      <c r="F126" s="5">
        <v>6760</v>
      </c>
      <c r="G126" s="5">
        <v>6880</v>
      </c>
      <c r="H126" s="5">
        <v>6890</v>
      </c>
      <c r="I126" s="5">
        <v>1.92</v>
      </c>
      <c r="J126" s="5">
        <v>6750</v>
      </c>
      <c r="K126" s="5">
        <v>6890</v>
      </c>
    </row>
    <row r="127" spans="1:11" x14ac:dyDescent="0.3">
      <c r="A127" s="9" t="s">
        <v>738</v>
      </c>
      <c r="B127" s="5" t="s">
        <v>739</v>
      </c>
      <c r="C127" s="5">
        <v>52</v>
      </c>
      <c r="D127" s="5">
        <v>4452773</v>
      </c>
      <c r="E127" s="5">
        <v>47886837340</v>
      </c>
      <c r="F127" s="5">
        <v>10744</v>
      </c>
      <c r="G127" s="5">
        <v>10752</v>
      </c>
      <c r="H127" s="5">
        <v>10754</v>
      </c>
      <c r="I127" s="5">
        <v>0.09</v>
      </c>
      <c r="J127" s="5">
        <v>10752</v>
      </c>
      <c r="K127" s="5">
        <v>10761</v>
      </c>
    </row>
    <row r="128" spans="1:11" x14ac:dyDescent="0.3">
      <c r="A128" s="9" t="s">
        <v>1602</v>
      </c>
      <c r="B128" s="5" t="s">
        <v>1603</v>
      </c>
      <c r="C128" s="5">
        <v>580</v>
      </c>
      <c r="D128" s="5">
        <v>6565307</v>
      </c>
      <c r="E128" s="5">
        <v>35371258100</v>
      </c>
      <c r="F128" s="5">
        <v>5290</v>
      </c>
      <c r="G128" s="5">
        <v>5380</v>
      </c>
      <c r="H128" s="5">
        <v>5390</v>
      </c>
      <c r="I128" s="5">
        <v>1.89</v>
      </c>
      <c r="J128" s="5">
        <v>5370</v>
      </c>
      <c r="K128" s="5">
        <v>5390</v>
      </c>
    </row>
    <row r="129" spans="1:11" x14ac:dyDescent="0.3">
      <c r="A129" s="9" t="s">
        <v>915</v>
      </c>
      <c r="B129" s="5" t="s">
        <v>916</v>
      </c>
      <c r="C129" s="5">
        <v>504</v>
      </c>
      <c r="D129" s="5">
        <v>1162397</v>
      </c>
      <c r="E129" s="5">
        <v>38888653900</v>
      </c>
      <c r="F129" s="5">
        <v>33200</v>
      </c>
      <c r="G129" s="5">
        <v>34200</v>
      </c>
      <c r="H129" s="5">
        <v>33450</v>
      </c>
      <c r="I129" s="5">
        <v>0.75</v>
      </c>
      <c r="J129" s="5">
        <v>32750</v>
      </c>
      <c r="K129" s="5">
        <v>34200</v>
      </c>
    </row>
    <row r="130" spans="1:11" x14ac:dyDescent="0.3">
      <c r="A130" s="9" t="s">
        <v>256</v>
      </c>
      <c r="B130" s="5" t="s">
        <v>255</v>
      </c>
      <c r="C130" s="5">
        <v>106</v>
      </c>
      <c r="D130" s="5">
        <v>347046</v>
      </c>
      <c r="E130" s="5">
        <v>5449446770</v>
      </c>
      <c r="F130" s="5">
        <v>15370</v>
      </c>
      <c r="G130" s="5">
        <v>15260</v>
      </c>
      <c r="H130" s="5">
        <v>15460</v>
      </c>
      <c r="I130" s="5">
        <v>0.59</v>
      </c>
      <c r="J130" s="5">
        <v>15260</v>
      </c>
      <c r="K130" s="5">
        <v>15830</v>
      </c>
    </row>
    <row r="131" spans="1:11" x14ac:dyDescent="0.3">
      <c r="A131" s="9" t="s">
        <v>764</v>
      </c>
      <c r="B131" s="5" t="s">
        <v>765</v>
      </c>
      <c r="C131" s="5">
        <v>1050</v>
      </c>
      <c r="D131" s="5">
        <v>7324706</v>
      </c>
      <c r="E131" s="5">
        <v>149580625490</v>
      </c>
      <c r="F131" s="5">
        <v>19540</v>
      </c>
      <c r="G131" s="5">
        <v>19740</v>
      </c>
      <c r="H131" s="5">
        <v>20420</v>
      </c>
      <c r="I131" s="5">
        <v>4.5</v>
      </c>
      <c r="J131" s="5">
        <v>19740</v>
      </c>
      <c r="K131" s="5">
        <v>20510</v>
      </c>
    </row>
    <row r="132" spans="1:11" x14ac:dyDescent="0.3">
      <c r="A132" s="9" t="s">
        <v>66</v>
      </c>
      <c r="B132" s="5" t="s">
        <v>65</v>
      </c>
      <c r="C132" s="5">
        <v>2247</v>
      </c>
      <c r="D132" s="5">
        <v>2416797</v>
      </c>
      <c r="E132" s="5">
        <v>29109789860</v>
      </c>
      <c r="F132" s="5">
        <v>11850</v>
      </c>
      <c r="G132" s="5">
        <v>12030</v>
      </c>
      <c r="H132" s="5">
        <v>12040</v>
      </c>
      <c r="I132" s="5">
        <v>1.6</v>
      </c>
      <c r="J132" s="5">
        <v>11880</v>
      </c>
      <c r="K132" s="5">
        <v>12280</v>
      </c>
    </row>
    <row r="133" spans="1:11" x14ac:dyDescent="0.3">
      <c r="A133" s="9" t="s">
        <v>967</v>
      </c>
      <c r="B133" s="5" t="s">
        <v>968</v>
      </c>
      <c r="C133" s="5">
        <v>4268</v>
      </c>
      <c r="D133" s="5">
        <v>115058263</v>
      </c>
      <c r="E133" s="5">
        <v>307673787164</v>
      </c>
      <c r="F133" s="5">
        <v>2565</v>
      </c>
      <c r="G133" s="5">
        <v>2649</v>
      </c>
      <c r="H133" s="5">
        <v>2674</v>
      </c>
      <c r="I133" s="5">
        <v>4.25</v>
      </c>
      <c r="J133" s="5">
        <v>2610</v>
      </c>
      <c r="K133" s="5">
        <v>2742</v>
      </c>
    </row>
    <row r="134" spans="1:11" x14ac:dyDescent="0.3">
      <c r="A134" s="9" t="s">
        <v>529</v>
      </c>
      <c r="B134" s="5" t="s">
        <v>530</v>
      </c>
      <c r="C134" s="5">
        <v>131</v>
      </c>
      <c r="D134" s="5">
        <v>52818</v>
      </c>
      <c r="E134" s="5">
        <v>16350882200</v>
      </c>
      <c r="F134" s="5">
        <v>322400</v>
      </c>
      <c r="G134" s="5">
        <v>309550</v>
      </c>
      <c r="H134" s="5">
        <v>309550</v>
      </c>
      <c r="I134" s="5">
        <v>-3.99</v>
      </c>
      <c r="J134" s="5">
        <v>309550</v>
      </c>
      <c r="K134" s="5">
        <v>310000</v>
      </c>
    </row>
    <row r="135" spans="1:11" x14ac:dyDescent="0.3">
      <c r="A135" s="9" t="s">
        <v>1528</v>
      </c>
      <c r="B135" s="5" t="s">
        <v>1529</v>
      </c>
      <c r="C135" s="5">
        <v>18807</v>
      </c>
      <c r="D135" s="5">
        <v>506168837</v>
      </c>
      <c r="E135" s="5">
        <v>662279172863</v>
      </c>
      <c r="F135" s="5">
        <v>1341</v>
      </c>
      <c r="G135" s="5">
        <v>1303</v>
      </c>
      <c r="H135" s="5">
        <v>1308</v>
      </c>
      <c r="I135" s="5">
        <v>-2.46</v>
      </c>
      <c r="J135" s="5">
        <v>1301</v>
      </c>
      <c r="K135" s="5">
        <v>1348</v>
      </c>
    </row>
    <row r="136" spans="1:11" x14ac:dyDescent="0.3">
      <c r="A136" s="9" t="s">
        <v>203</v>
      </c>
      <c r="B136" s="5" t="s">
        <v>202</v>
      </c>
      <c r="C136" s="5">
        <v>1878</v>
      </c>
      <c r="D136" s="5">
        <v>40160401</v>
      </c>
      <c r="E136" s="5">
        <v>103217060672</v>
      </c>
      <c r="F136" s="5">
        <v>2553</v>
      </c>
      <c r="G136" s="5">
        <v>2602</v>
      </c>
      <c r="H136" s="5">
        <v>2570</v>
      </c>
      <c r="I136" s="5">
        <v>0.67</v>
      </c>
      <c r="J136" s="5">
        <v>2535</v>
      </c>
      <c r="K136" s="5">
        <v>2602</v>
      </c>
    </row>
    <row r="137" spans="1:11" x14ac:dyDescent="0.3">
      <c r="A137" s="9" t="s">
        <v>184</v>
      </c>
      <c r="B137" s="5" t="s">
        <v>183</v>
      </c>
      <c r="C137" s="5">
        <v>29</v>
      </c>
      <c r="D137" s="5">
        <v>11714</v>
      </c>
      <c r="E137" s="5">
        <v>1760540000</v>
      </c>
      <c r="F137" s="5">
        <v>145510</v>
      </c>
      <c r="G137" s="5">
        <v>148200</v>
      </c>
      <c r="H137" s="5">
        <v>150290</v>
      </c>
      <c r="I137" s="5">
        <v>3.28</v>
      </c>
      <c r="J137" s="5">
        <v>147190</v>
      </c>
      <c r="K137" s="5">
        <v>151180</v>
      </c>
    </row>
    <row r="138" spans="1:11" x14ac:dyDescent="0.3">
      <c r="A138" s="9" t="s">
        <v>550</v>
      </c>
      <c r="B138" s="5" t="s">
        <v>551</v>
      </c>
      <c r="C138" s="5">
        <v>61</v>
      </c>
      <c r="D138" s="5">
        <v>241110</v>
      </c>
      <c r="E138" s="5">
        <v>2902535810</v>
      </c>
      <c r="F138" s="5">
        <v>11700</v>
      </c>
      <c r="G138" s="5">
        <v>12300</v>
      </c>
      <c r="H138" s="5">
        <v>12040</v>
      </c>
      <c r="I138" s="5">
        <v>2.91</v>
      </c>
      <c r="J138" s="5">
        <v>11640</v>
      </c>
      <c r="K138" s="5">
        <v>12300</v>
      </c>
    </row>
    <row r="139" spans="1:11" x14ac:dyDescent="0.3">
      <c r="A139" s="9" t="s">
        <v>588</v>
      </c>
      <c r="B139" s="5" t="s">
        <v>589</v>
      </c>
      <c r="C139" s="5">
        <v>3</v>
      </c>
      <c r="D139" s="5">
        <v>1599</v>
      </c>
      <c r="E139" s="5">
        <v>943410000</v>
      </c>
      <c r="F139" s="5">
        <v>585000</v>
      </c>
      <c r="G139" s="5">
        <v>590000</v>
      </c>
      <c r="H139" s="5">
        <v>590000</v>
      </c>
      <c r="I139" s="5">
        <v>0.85</v>
      </c>
      <c r="J139" s="5">
        <v>590000</v>
      </c>
      <c r="K139" s="5">
        <v>590000</v>
      </c>
    </row>
    <row r="140" spans="1:11" x14ac:dyDescent="0.3">
      <c r="A140" s="9" t="s">
        <v>562</v>
      </c>
      <c r="B140" s="5" t="s">
        <v>563</v>
      </c>
      <c r="C140" s="5">
        <v>25</v>
      </c>
      <c r="D140" s="5">
        <v>2736</v>
      </c>
      <c r="E140" s="5">
        <v>2272183100</v>
      </c>
      <c r="F140" s="5">
        <v>825835</v>
      </c>
      <c r="G140" s="5">
        <v>800001</v>
      </c>
      <c r="H140" s="5">
        <v>830476</v>
      </c>
      <c r="I140" s="5">
        <v>0.56000000000000005</v>
      </c>
      <c r="J140" s="5">
        <v>800001</v>
      </c>
      <c r="K140" s="5">
        <v>843000</v>
      </c>
    </row>
    <row r="141" spans="1:11" x14ac:dyDescent="0.3">
      <c r="A141" s="9" t="s">
        <v>420</v>
      </c>
      <c r="B141" s="5" t="s">
        <v>421</v>
      </c>
      <c r="C141" s="5">
        <v>297</v>
      </c>
      <c r="D141" s="5">
        <v>3409484</v>
      </c>
      <c r="E141" s="5">
        <v>39537832670</v>
      </c>
      <c r="F141" s="5">
        <v>11080</v>
      </c>
      <c r="G141" s="5">
        <v>10970</v>
      </c>
      <c r="H141" s="5">
        <v>11600</v>
      </c>
      <c r="I141" s="5">
        <v>4.6900000000000004</v>
      </c>
      <c r="J141" s="5">
        <v>10970</v>
      </c>
      <c r="K141" s="5">
        <v>11630</v>
      </c>
    </row>
    <row r="142" spans="1:11" x14ac:dyDescent="0.3">
      <c r="A142" s="9" t="s">
        <v>1630</v>
      </c>
      <c r="B142" s="5" t="s">
        <v>1631</v>
      </c>
      <c r="C142" s="5">
        <v>188</v>
      </c>
      <c r="D142" s="5">
        <v>1033298</v>
      </c>
      <c r="E142" s="5">
        <v>5679287830</v>
      </c>
      <c r="F142" s="5">
        <v>5400</v>
      </c>
      <c r="G142" s="5">
        <v>5620</v>
      </c>
      <c r="H142" s="5">
        <v>5430</v>
      </c>
      <c r="I142" s="5">
        <v>0.56000000000000005</v>
      </c>
      <c r="J142" s="5">
        <v>5420</v>
      </c>
      <c r="K142" s="5">
        <v>5620</v>
      </c>
    </row>
    <row r="143" spans="1:11" x14ac:dyDescent="0.3">
      <c r="A143" s="9" t="s">
        <v>1048</v>
      </c>
      <c r="B143" s="5" t="s">
        <v>1049</v>
      </c>
      <c r="C143" s="5">
        <v>488</v>
      </c>
      <c r="D143" s="5">
        <v>1224707</v>
      </c>
      <c r="E143" s="5">
        <v>24507597270</v>
      </c>
      <c r="F143" s="5">
        <v>20080</v>
      </c>
      <c r="G143" s="5">
        <v>20600</v>
      </c>
      <c r="H143" s="5">
        <v>20010</v>
      </c>
      <c r="I143" s="5">
        <v>-0.35</v>
      </c>
      <c r="J143" s="5">
        <v>19800</v>
      </c>
      <c r="K143" s="5">
        <v>20600</v>
      </c>
    </row>
    <row r="144" spans="1:11" x14ac:dyDescent="0.3">
      <c r="A144" s="9" t="s">
        <v>545</v>
      </c>
      <c r="B144" s="5" t="s">
        <v>546</v>
      </c>
      <c r="C144" s="5">
        <v>266</v>
      </c>
      <c r="D144" s="5">
        <v>863936</v>
      </c>
      <c r="E144" s="5">
        <v>20343007800</v>
      </c>
      <c r="F144" s="5">
        <v>22530</v>
      </c>
      <c r="G144" s="5">
        <v>23540</v>
      </c>
      <c r="H144" s="5">
        <v>22720</v>
      </c>
      <c r="I144" s="5">
        <v>0.84</v>
      </c>
      <c r="J144" s="5">
        <v>22600</v>
      </c>
      <c r="K144" s="5">
        <v>23650</v>
      </c>
    </row>
    <row r="145" spans="1:11" x14ac:dyDescent="0.3">
      <c r="A145" s="9" t="s">
        <v>1204</v>
      </c>
      <c r="B145" s="5" t="s">
        <v>1205</v>
      </c>
      <c r="C145" s="5">
        <v>1312</v>
      </c>
      <c r="D145" s="5">
        <v>3480873</v>
      </c>
      <c r="E145" s="5">
        <v>117164564570</v>
      </c>
      <c r="F145" s="5">
        <v>32230</v>
      </c>
      <c r="G145" s="5">
        <v>33790</v>
      </c>
      <c r="H145" s="5">
        <v>33660</v>
      </c>
      <c r="I145" s="5">
        <v>4.4400000000000004</v>
      </c>
      <c r="J145" s="5">
        <v>32900</v>
      </c>
      <c r="K145" s="5">
        <v>33840</v>
      </c>
    </row>
    <row r="146" spans="1:11" x14ac:dyDescent="0.3">
      <c r="A146" s="9" t="s">
        <v>1641</v>
      </c>
      <c r="B146" s="5" t="s">
        <v>1642</v>
      </c>
      <c r="C146" s="5">
        <v>61</v>
      </c>
      <c r="D146" s="5">
        <v>990000</v>
      </c>
      <c r="E146" s="5">
        <v>21671100000</v>
      </c>
      <c r="F146" s="5">
        <v>20850</v>
      </c>
      <c r="G146" s="5">
        <v>21890</v>
      </c>
      <c r="H146" s="5">
        <v>21890</v>
      </c>
      <c r="I146" s="5">
        <v>4.99</v>
      </c>
      <c r="J146" s="5">
        <v>21890</v>
      </c>
      <c r="K146" s="5">
        <v>21890</v>
      </c>
    </row>
    <row r="147" spans="1:11" x14ac:dyDescent="0.3">
      <c r="A147" s="9" t="s">
        <v>356</v>
      </c>
      <c r="B147" s="5" t="s">
        <v>275</v>
      </c>
      <c r="C147" s="5">
        <v>660</v>
      </c>
      <c r="D147" s="5">
        <v>15313549</v>
      </c>
      <c r="E147" s="5">
        <v>24696180024</v>
      </c>
      <c r="F147" s="5">
        <v>1615</v>
      </c>
      <c r="G147" s="5">
        <v>1619</v>
      </c>
      <c r="H147" s="5">
        <v>1613</v>
      </c>
      <c r="I147" s="5">
        <v>-0.12</v>
      </c>
      <c r="J147" s="5">
        <v>1550</v>
      </c>
      <c r="K147" s="5">
        <v>1633</v>
      </c>
    </row>
    <row r="148" spans="1:11" x14ac:dyDescent="0.3">
      <c r="A148" s="9" t="s">
        <v>752</v>
      </c>
      <c r="B148" s="5" t="s">
        <v>753</v>
      </c>
      <c r="C148" s="5">
        <v>2412</v>
      </c>
      <c r="D148" s="5">
        <v>3458277</v>
      </c>
      <c r="E148" s="5">
        <v>51676958230</v>
      </c>
      <c r="F148" s="5">
        <v>14330</v>
      </c>
      <c r="G148" s="5">
        <v>14730</v>
      </c>
      <c r="H148" s="5">
        <v>14940</v>
      </c>
      <c r="I148" s="5">
        <v>4.26</v>
      </c>
      <c r="J148" s="5">
        <v>14400</v>
      </c>
      <c r="K148" s="5">
        <v>15040</v>
      </c>
    </row>
    <row r="149" spans="1:11" x14ac:dyDescent="0.3">
      <c r="A149" s="9" t="s">
        <v>1370</v>
      </c>
      <c r="B149" s="5" t="s">
        <v>1371</v>
      </c>
      <c r="C149" s="5">
        <v>827</v>
      </c>
      <c r="D149" s="5">
        <v>29595575</v>
      </c>
      <c r="E149" s="5">
        <v>104236060030</v>
      </c>
      <c r="F149" s="5">
        <v>3356</v>
      </c>
      <c r="G149" s="5">
        <v>3286</v>
      </c>
      <c r="H149" s="5">
        <v>3522</v>
      </c>
      <c r="I149" s="5">
        <v>4.95</v>
      </c>
      <c r="J149" s="5">
        <v>3286</v>
      </c>
      <c r="K149" s="5">
        <v>3590</v>
      </c>
    </row>
    <row r="150" spans="1:11" x14ac:dyDescent="0.3">
      <c r="A150" s="9" t="s">
        <v>621</v>
      </c>
      <c r="B150" s="5" t="s">
        <v>1031</v>
      </c>
      <c r="C150" s="5">
        <v>119</v>
      </c>
      <c r="D150" s="5">
        <v>1599246</v>
      </c>
      <c r="E150" s="5">
        <v>14770011970</v>
      </c>
      <c r="F150" s="5">
        <v>9060</v>
      </c>
      <c r="G150" s="5">
        <v>9020</v>
      </c>
      <c r="H150" s="5">
        <v>9240</v>
      </c>
      <c r="I150" s="5">
        <v>1.99</v>
      </c>
      <c r="J150" s="5">
        <v>9020</v>
      </c>
      <c r="K150" s="5">
        <v>9320</v>
      </c>
    </row>
    <row r="151" spans="1:11" x14ac:dyDescent="0.3">
      <c r="A151" s="9" t="s">
        <v>473</v>
      </c>
      <c r="B151" s="5" t="s">
        <v>474</v>
      </c>
      <c r="C151" s="5">
        <v>1412</v>
      </c>
      <c r="D151" s="5">
        <v>19635376</v>
      </c>
      <c r="E151" s="5">
        <v>82866430611</v>
      </c>
      <c r="F151" s="5">
        <v>4045</v>
      </c>
      <c r="G151" s="5">
        <v>4177</v>
      </c>
      <c r="H151" s="5">
        <v>4220</v>
      </c>
      <c r="I151" s="5">
        <v>4.33</v>
      </c>
      <c r="J151" s="5">
        <v>4070</v>
      </c>
      <c r="K151" s="5">
        <v>4247</v>
      </c>
    </row>
    <row r="152" spans="1:11" x14ac:dyDescent="0.3">
      <c r="A152" s="9" t="s">
        <v>272</v>
      </c>
      <c r="B152" s="5" t="s">
        <v>271</v>
      </c>
      <c r="C152" s="5">
        <v>736</v>
      </c>
      <c r="D152" s="5">
        <v>19863514</v>
      </c>
      <c r="E152" s="5">
        <v>88290216469</v>
      </c>
      <c r="F152" s="5">
        <v>4161</v>
      </c>
      <c r="G152" s="5">
        <v>4452</v>
      </c>
      <c r="H152" s="5">
        <v>4445</v>
      </c>
      <c r="I152" s="5">
        <v>6.83</v>
      </c>
      <c r="J152" s="5">
        <v>4362</v>
      </c>
      <c r="K152" s="5">
        <v>4452</v>
      </c>
    </row>
    <row r="153" spans="1:11" x14ac:dyDescent="0.3">
      <c r="A153" s="9" t="s">
        <v>125</v>
      </c>
      <c r="B153" s="5" t="s">
        <v>690</v>
      </c>
      <c r="C153" s="5">
        <v>3407</v>
      </c>
      <c r="D153" s="5">
        <v>5773048</v>
      </c>
      <c r="E153" s="5">
        <v>265744214180</v>
      </c>
      <c r="F153" s="5">
        <v>44490</v>
      </c>
      <c r="G153" s="5">
        <v>46500</v>
      </c>
      <c r="H153" s="5">
        <v>46030</v>
      </c>
      <c r="I153" s="5">
        <v>3.46</v>
      </c>
      <c r="J153" s="5">
        <v>45000</v>
      </c>
      <c r="K153" s="5">
        <v>46500</v>
      </c>
    </row>
    <row r="154" spans="1:11" x14ac:dyDescent="0.3">
      <c r="A154" s="9" t="s">
        <v>159</v>
      </c>
      <c r="B154" s="5" t="s">
        <v>158</v>
      </c>
      <c r="C154" s="5">
        <v>201</v>
      </c>
      <c r="D154" s="5">
        <v>33564533</v>
      </c>
      <c r="E154" s="5">
        <v>358271035805</v>
      </c>
      <c r="F154" s="5">
        <v>10652</v>
      </c>
      <c r="G154" s="5">
        <v>10661</v>
      </c>
      <c r="H154" s="5">
        <v>10674</v>
      </c>
      <c r="I154" s="5">
        <v>0.21</v>
      </c>
      <c r="J154" s="5">
        <v>10661</v>
      </c>
      <c r="K154" s="5">
        <v>10675</v>
      </c>
    </row>
    <row r="155" spans="1:11" x14ac:dyDescent="0.3">
      <c r="A155" s="9" t="s">
        <v>828</v>
      </c>
      <c r="B155" s="5" t="s">
        <v>829</v>
      </c>
      <c r="C155" s="5">
        <v>292</v>
      </c>
      <c r="D155" s="5">
        <v>1342420</v>
      </c>
      <c r="E155" s="5">
        <v>11667754320</v>
      </c>
      <c r="F155" s="5">
        <v>8650</v>
      </c>
      <c r="G155" s="5">
        <v>8700</v>
      </c>
      <c r="H155" s="5">
        <v>8690</v>
      </c>
      <c r="I155" s="5">
        <v>0.46</v>
      </c>
      <c r="J155" s="5">
        <v>8500</v>
      </c>
      <c r="K155" s="5">
        <v>8850</v>
      </c>
    </row>
    <row r="156" spans="1:11" x14ac:dyDescent="0.3">
      <c r="A156" s="9" t="s">
        <v>362</v>
      </c>
      <c r="B156" s="5" t="s">
        <v>361</v>
      </c>
      <c r="C156" s="5">
        <v>2772</v>
      </c>
      <c r="D156" s="5">
        <v>112776715</v>
      </c>
      <c r="E156" s="5">
        <v>381011936696</v>
      </c>
      <c r="F156" s="5">
        <v>3230</v>
      </c>
      <c r="G156" s="5">
        <v>3390</v>
      </c>
      <c r="H156" s="5">
        <v>3378</v>
      </c>
      <c r="I156" s="5">
        <v>4.58</v>
      </c>
      <c r="J156" s="5">
        <v>3283</v>
      </c>
      <c r="K156" s="5">
        <v>3391</v>
      </c>
    </row>
    <row r="157" spans="1:11" x14ac:dyDescent="0.3">
      <c r="A157" s="9" t="s">
        <v>1790</v>
      </c>
      <c r="B157" s="5" t="s">
        <v>361</v>
      </c>
      <c r="C157" s="5">
        <v>1</v>
      </c>
      <c r="D157" s="5">
        <v>7000000</v>
      </c>
      <c r="E157" s="5">
        <v>23520000000</v>
      </c>
      <c r="F157" s="5">
        <v>3230</v>
      </c>
      <c r="G157" s="5">
        <v>3360</v>
      </c>
      <c r="H157" s="5">
        <v>3360</v>
      </c>
      <c r="I157" s="5">
        <v>4.0199999999999996</v>
      </c>
      <c r="J157" s="5">
        <v>3360</v>
      </c>
      <c r="K157" s="5">
        <v>3360</v>
      </c>
    </row>
    <row r="158" spans="1:11" x14ac:dyDescent="0.3">
      <c r="A158" s="9" t="s">
        <v>931</v>
      </c>
      <c r="B158" s="5" t="s">
        <v>932</v>
      </c>
      <c r="C158" s="5">
        <v>1059</v>
      </c>
      <c r="D158" s="5">
        <v>5362532</v>
      </c>
      <c r="E158" s="5">
        <v>200191914060</v>
      </c>
      <c r="F158" s="5">
        <v>36080</v>
      </c>
      <c r="G158" s="5">
        <v>36090</v>
      </c>
      <c r="H158" s="5">
        <v>37330</v>
      </c>
      <c r="I158" s="5">
        <v>3.46</v>
      </c>
      <c r="J158" s="5">
        <v>36090</v>
      </c>
      <c r="K158" s="5">
        <v>37870</v>
      </c>
    </row>
    <row r="159" spans="1:11" x14ac:dyDescent="0.3">
      <c r="A159" s="9" t="s">
        <v>523</v>
      </c>
      <c r="B159" s="5" t="s">
        <v>524</v>
      </c>
      <c r="C159" s="5">
        <v>637</v>
      </c>
      <c r="D159" s="5">
        <v>9625632</v>
      </c>
      <c r="E159" s="5">
        <v>33682000809</v>
      </c>
      <c r="F159" s="5">
        <v>3397</v>
      </c>
      <c r="G159" s="5">
        <v>3568</v>
      </c>
      <c r="H159" s="5">
        <v>3499</v>
      </c>
      <c r="I159" s="5">
        <v>3</v>
      </c>
      <c r="J159" s="5">
        <v>3435</v>
      </c>
      <c r="K159" s="5">
        <v>3569</v>
      </c>
    </row>
    <row r="160" spans="1:11" x14ac:dyDescent="0.3">
      <c r="A160" s="9" t="s">
        <v>27</v>
      </c>
      <c r="B160" s="5" t="s">
        <v>26</v>
      </c>
      <c r="C160" s="5">
        <v>640</v>
      </c>
      <c r="D160" s="5">
        <v>21267032</v>
      </c>
      <c r="E160" s="5">
        <v>214696098671</v>
      </c>
      <c r="F160" s="5">
        <v>10070</v>
      </c>
      <c r="G160" s="5">
        <v>10094</v>
      </c>
      <c r="H160" s="5">
        <v>10095</v>
      </c>
      <c r="I160" s="5">
        <v>0.25</v>
      </c>
      <c r="J160" s="5">
        <v>10093</v>
      </c>
      <c r="K160" s="5">
        <v>10096</v>
      </c>
    </row>
    <row r="161" spans="1:11" x14ac:dyDescent="0.3">
      <c r="A161" s="9" t="s">
        <v>1401</v>
      </c>
      <c r="B161" s="5" t="s">
        <v>1402</v>
      </c>
      <c r="C161" s="5">
        <v>363</v>
      </c>
      <c r="D161" s="5">
        <v>2786743</v>
      </c>
      <c r="E161" s="5">
        <v>31794222640</v>
      </c>
      <c r="F161" s="5">
        <v>11010</v>
      </c>
      <c r="G161" s="5">
        <v>11100</v>
      </c>
      <c r="H161" s="5">
        <v>11410</v>
      </c>
      <c r="I161" s="5">
        <v>3.63</v>
      </c>
      <c r="J161" s="5">
        <v>11100</v>
      </c>
      <c r="K161" s="5">
        <v>11560</v>
      </c>
    </row>
    <row r="162" spans="1:11" x14ac:dyDescent="0.3">
      <c r="A162" s="9" t="s">
        <v>43</v>
      </c>
      <c r="B162" s="5" t="s">
        <v>42</v>
      </c>
      <c r="C162" s="5">
        <v>17342</v>
      </c>
      <c r="D162" s="5">
        <v>15902713</v>
      </c>
      <c r="E162" s="5">
        <v>2636057964610</v>
      </c>
      <c r="F162" s="5">
        <v>160950</v>
      </c>
      <c r="G162" s="5">
        <v>170000</v>
      </c>
      <c r="H162" s="5">
        <v>165760</v>
      </c>
      <c r="I162" s="5">
        <v>2.99</v>
      </c>
      <c r="J162" s="5">
        <v>161020</v>
      </c>
      <c r="K162" s="5">
        <v>170000</v>
      </c>
    </row>
    <row r="163" spans="1:11" x14ac:dyDescent="0.3">
      <c r="A163" s="9" t="s">
        <v>1627</v>
      </c>
      <c r="B163" s="5" t="s">
        <v>42</v>
      </c>
      <c r="C163" s="5">
        <v>1</v>
      </c>
      <c r="D163" s="5">
        <v>6000000</v>
      </c>
      <c r="E163" s="5">
        <v>6000000</v>
      </c>
      <c r="F163" s="5">
        <v>160950</v>
      </c>
      <c r="G163" s="5">
        <v>1</v>
      </c>
      <c r="H163" s="5">
        <v>1</v>
      </c>
      <c r="I163" s="5">
        <v>-100</v>
      </c>
      <c r="J163" s="5">
        <v>1</v>
      </c>
      <c r="K163" s="5">
        <v>1</v>
      </c>
    </row>
    <row r="164" spans="1:11" x14ac:dyDescent="0.3">
      <c r="A164" s="9" t="s">
        <v>1119</v>
      </c>
      <c r="B164" s="5" t="s">
        <v>1120</v>
      </c>
      <c r="C164" s="5">
        <v>63</v>
      </c>
      <c r="D164" s="5">
        <v>13081899</v>
      </c>
      <c r="E164" s="5">
        <v>138416508502</v>
      </c>
      <c r="F164" s="5">
        <v>10556</v>
      </c>
      <c r="G164" s="5">
        <v>10581</v>
      </c>
      <c r="H164" s="5">
        <v>10581</v>
      </c>
      <c r="I164" s="5">
        <v>0.24</v>
      </c>
      <c r="J164" s="5">
        <v>10580</v>
      </c>
      <c r="K164" s="5">
        <v>10582</v>
      </c>
    </row>
    <row r="165" spans="1:11" x14ac:dyDescent="0.3">
      <c r="A165" s="9" t="s">
        <v>1447</v>
      </c>
      <c r="B165" s="5" t="s">
        <v>1448</v>
      </c>
      <c r="C165" s="5">
        <v>1556</v>
      </c>
      <c r="D165" s="5">
        <v>39637475</v>
      </c>
      <c r="E165" s="5">
        <v>60809808347</v>
      </c>
      <c r="F165" s="5">
        <v>1556</v>
      </c>
      <c r="G165" s="5">
        <v>1581</v>
      </c>
      <c r="H165" s="5">
        <v>1534</v>
      </c>
      <c r="I165" s="5">
        <v>-1.41</v>
      </c>
      <c r="J165" s="5">
        <v>1482</v>
      </c>
      <c r="K165" s="5">
        <v>1594</v>
      </c>
    </row>
    <row r="166" spans="1:11" x14ac:dyDescent="0.3">
      <c r="A166" s="9" t="s">
        <v>1392</v>
      </c>
      <c r="B166" s="5" t="s">
        <v>1282</v>
      </c>
      <c r="C166" s="5">
        <v>16</v>
      </c>
      <c r="D166" s="5">
        <v>28300000</v>
      </c>
      <c r="E166" s="5">
        <v>28300000</v>
      </c>
      <c r="F166" s="5">
        <v>10800</v>
      </c>
      <c r="G166" s="5">
        <v>1</v>
      </c>
      <c r="H166" s="5">
        <v>1</v>
      </c>
      <c r="I166" s="5">
        <v>-99.99</v>
      </c>
      <c r="J166" s="5">
        <v>1</v>
      </c>
      <c r="K166" s="5">
        <v>1</v>
      </c>
    </row>
    <row r="167" spans="1:11" x14ac:dyDescent="0.3">
      <c r="A167" s="9" t="s">
        <v>1036</v>
      </c>
      <c r="B167" s="5" t="s">
        <v>1037</v>
      </c>
      <c r="C167" s="5">
        <v>546</v>
      </c>
      <c r="D167" s="5">
        <v>2776373</v>
      </c>
      <c r="E167" s="5">
        <v>93174340250</v>
      </c>
      <c r="F167" s="5">
        <v>32350</v>
      </c>
      <c r="G167" s="5">
        <v>33750</v>
      </c>
      <c r="H167" s="5">
        <v>33550</v>
      </c>
      <c r="I167" s="5">
        <v>3.71</v>
      </c>
      <c r="J167" s="5">
        <v>32800</v>
      </c>
      <c r="K167" s="5">
        <v>33950</v>
      </c>
    </row>
    <row r="168" spans="1:11" x14ac:dyDescent="0.3">
      <c r="A168" s="9" t="s">
        <v>1097</v>
      </c>
      <c r="B168" s="5" t="s">
        <v>1098</v>
      </c>
      <c r="C168" s="5">
        <v>802</v>
      </c>
      <c r="D168" s="5">
        <v>6705289</v>
      </c>
      <c r="E168" s="5">
        <v>103489168610</v>
      </c>
      <c r="F168" s="5">
        <v>14740</v>
      </c>
      <c r="G168" s="5">
        <v>15390</v>
      </c>
      <c r="H168" s="5">
        <v>15430</v>
      </c>
      <c r="I168" s="5">
        <v>4.68</v>
      </c>
      <c r="J168" s="5">
        <v>15040</v>
      </c>
      <c r="K168" s="5">
        <v>15470</v>
      </c>
    </row>
    <row r="169" spans="1:11" x14ac:dyDescent="0.3">
      <c r="A169" s="9" t="s">
        <v>941</v>
      </c>
      <c r="B169" s="5" t="s">
        <v>942</v>
      </c>
      <c r="C169" s="5">
        <v>216</v>
      </c>
      <c r="D169" s="5">
        <v>1958935</v>
      </c>
      <c r="E169" s="5">
        <v>22906730780</v>
      </c>
      <c r="F169" s="5">
        <v>11250</v>
      </c>
      <c r="G169" s="5">
        <v>11600</v>
      </c>
      <c r="H169" s="5">
        <v>11520</v>
      </c>
      <c r="I169" s="5">
        <v>2.4</v>
      </c>
      <c r="J169" s="5">
        <v>11570</v>
      </c>
      <c r="K169" s="5">
        <v>11810</v>
      </c>
    </row>
    <row r="170" spans="1:11" x14ac:dyDescent="0.3">
      <c r="A170" s="9" t="s">
        <v>1470</v>
      </c>
      <c r="B170" s="5" t="s">
        <v>1471</v>
      </c>
      <c r="C170" s="5">
        <v>468</v>
      </c>
      <c r="D170" s="5">
        <v>12840376</v>
      </c>
      <c r="E170" s="5">
        <v>56922283290</v>
      </c>
      <c r="F170" s="5">
        <v>4286</v>
      </c>
      <c r="G170" s="5">
        <v>4576</v>
      </c>
      <c r="H170" s="5">
        <v>4433</v>
      </c>
      <c r="I170" s="5">
        <v>3.43</v>
      </c>
      <c r="J170" s="5">
        <v>4321</v>
      </c>
      <c r="K170" s="5">
        <v>4576</v>
      </c>
    </row>
    <row r="171" spans="1:11" x14ac:dyDescent="0.3">
      <c r="A171" s="9" t="s">
        <v>493</v>
      </c>
      <c r="B171" s="5" t="s">
        <v>493</v>
      </c>
      <c r="C171" s="5">
        <v>609</v>
      </c>
      <c r="D171" s="5">
        <v>3147064</v>
      </c>
      <c r="E171" s="5">
        <v>6501547635</v>
      </c>
      <c r="F171" s="5">
        <v>2029</v>
      </c>
      <c r="G171" s="5">
        <v>2058</v>
      </c>
      <c r="H171" s="5">
        <v>2052</v>
      </c>
      <c r="I171" s="5">
        <v>1.1299999999999999</v>
      </c>
      <c r="J171" s="5">
        <v>2000</v>
      </c>
      <c r="K171" s="5">
        <v>2069</v>
      </c>
    </row>
    <row r="172" spans="1:11" x14ac:dyDescent="0.3">
      <c r="A172" s="9" t="s">
        <v>1038</v>
      </c>
      <c r="B172" s="5" t="s">
        <v>1039</v>
      </c>
      <c r="C172" s="5">
        <v>197</v>
      </c>
      <c r="D172" s="5">
        <v>1649497</v>
      </c>
      <c r="E172" s="5">
        <v>69362652920</v>
      </c>
      <c r="F172" s="5">
        <v>41080</v>
      </c>
      <c r="G172" s="5">
        <v>41490</v>
      </c>
      <c r="H172" s="5">
        <v>42050</v>
      </c>
      <c r="I172" s="5">
        <v>2.36</v>
      </c>
      <c r="J172" s="5">
        <v>41400</v>
      </c>
      <c r="K172" s="5">
        <v>42800</v>
      </c>
    </row>
    <row r="173" spans="1:11" x14ac:dyDescent="0.3">
      <c r="A173" s="9" t="s">
        <v>590</v>
      </c>
      <c r="B173" s="5" t="s">
        <v>591</v>
      </c>
      <c r="C173" s="5">
        <v>35</v>
      </c>
      <c r="D173" s="5">
        <v>23674</v>
      </c>
      <c r="E173" s="5">
        <v>1627587500</v>
      </c>
      <c r="F173" s="5">
        <v>66750</v>
      </c>
      <c r="G173" s="5">
        <v>68750</v>
      </c>
      <c r="H173" s="5">
        <v>66900</v>
      </c>
      <c r="I173" s="5">
        <v>0.22</v>
      </c>
      <c r="J173" s="5">
        <v>68750</v>
      </c>
      <c r="K173" s="5">
        <v>68750</v>
      </c>
    </row>
    <row r="174" spans="1:11" x14ac:dyDescent="0.3">
      <c r="A174" s="9" t="s">
        <v>1900</v>
      </c>
      <c r="B174" s="5" t="s">
        <v>1901</v>
      </c>
      <c r="C174" s="5">
        <v>156</v>
      </c>
      <c r="D174" s="5">
        <v>3224304</v>
      </c>
      <c r="E174" s="5">
        <v>35988761570</v>
      </c>
      <c r="F174" s="5">
        <v>10880</v>
      </c>
      <c r="G174" s="5">
        <v>11030</v>
      </c>
      <c r="H174" s="5">
        <v>11160</v>
      </c>
      <c r="I174" s="5">
        <v>2.57</v>
      </c>
      <c r="J174" s="5">
        <v>11030</v>
      </c>
      <c r="K174" s="5">
        <v>11200</v>
      </c>
    </row>
    <row r="175" spans="1:11" x14ac:dyDescent="0.3">
      <c r="A175" s="9" t="s">
        <v>97</v>
      </c>
      <c r="B175" s="5" t="s">
        <v>96</v>
      </c>
      <c r="C175" s="5">
        <v>482</v>
      </c>
      <c r="D175" s="5">
        <v>5139830</v>
      </c>
      <c r="E175" s="5">
        <v>23157184073</v>
      </c>
      <c r="F175" s="5">
        <v>4571</v>
      </c>
      <c r="G175" s="5">
        <v>4400</v>
      </c>
      <c r="H175" s="5">
        <v>4505</v>
      </c>
      <c r="I175" s="5">
        <v>-1.44</v>
      </c>
      <c r="J175" s="5">
        <v>4400</v>
      </c>
      <c r="K175" s="5">
        <v>4708</v>
      </c>
    </row>
    <row r="176" spans="1:11" x14ac:dyDescent="0.3">
      <c r="A176" s="9" t="s">
        <v>1007</v>
      </c>
      <c r="B176" s="5" t="s">
        <v>1008</v>
      </c>
      <c r="C176" s="5">
        <v>1069</v>
      </c>
      <c r="D176" s="5">
        <v>1848813</v>
      </c>
      <c r="E176" s="5">
        <v>24759741090</v>
      </c>
      <c r="F176" s="5">
        <v>13320</v>
      </c>
      <c r="G176" s="5">
        <v>13560</v>
      </c>
      <c r="H176" s="5">
        <v>13390</v>
      </c>
      <c r="I176" s="5">
        <v>0.53</v>
      </c>
      <c r="J176" s="5">
        <v>12700</v>
      </c>
      <c r="K176" s="5">
        <v>13780</v>
      </c>
    </row>
    <row r="177" spans="1:11" x14ac:dyDescent="0.3">
      <c r="A177" s="9" t="s">
        <v>616</v>
      </c>
      <c r="B177" s="5" t="s">
        <v>617</v>
      </c>
      <c r="C177" s="5">
        <v>100</v>
      </c>
      <c r="D177" s="5">
        <v>395839</v>
      </c>
      <c r="E177" s="5">
        <v>11023430900</v>
      </c>
      <c r="F177" s="5">
        <v>27100</v>
      </c>
      <c r="G177" s="5">
        <v>27700</v>
      </c>
      <c r="H177" s="5">
        <v>27600</v>
      </c>
      <c r="I177" s="5">
        <v>1.85</v>
      </c>
      <c r="J177" s="5">
        <v>27400</v>
      </c>
      <c r="K177" s="5">
        <v>27900</v>
      </c>
    </row>
    <row r="178" spans="1:11" x14ac:dyDescent="0.3">
      <c r="A178" s="9" t="s">
        <v>732</v>
      </c>
      <c r="B178" s="5" t="s">
        <v>733</v>
      </c>
      <c r="C178" s="5">
        <v>1</v>
      </c>
      <c r="D178" s="5">
        <v>10000</v>
      </c>
      <c r="E178" s="5">
        <v>10000000000</v>
      </c>
      <c r="F178" s="5">
        <v>1010000</v>
      </c>
      <c r="G178" s="5">
        <v>1000000</v>
      </c>
      <c r="H178" s="5">
        <v>1000000</v>
      </c>
      <c r="I178" s="5">
        <v>-0.99</v>
      </c>
      <c r="J178" s="5">
        <v>1000000</v>
      </c>
      <c r="K178" s="5">
        <v>1000000</v>
      </c>
    </row>
    <row r="179" spans="1:11" x14ac:dyDescent="0.3">
      <c r="A179" s="9" t="s">
        <v>776</v>
      </c>
      <c r="B179" s="5" t="s">
        <v>777</v>
      </c>
      <c r="C179" s="5">
        <v>2258</v>
      </c>
      <c r="D179" s="5">
        <v>51117480</v>
      </c>
      <c r="E179" s="5">
        <v>883819630560</v>
      </c>
      <c r="F179" s="5">
        <v>16470</v>
      </c>
      <c r="G179" s="5">
        <v>17290</v>
      </c>
      <c r="H179" s="5">
        <v>17290</v>
      </c>
      <c r="I179" s="5">
        <v>4.9800000000000004</v>
      </c>
      <c r="J179" s="5">
        <v>17240</v>
      </c>
      <c r="K179" s="5">
        <v>17290</v>
      </c>
    </row>
    <row r="180" spans="1:11" x14ac:dyDescent="0.3">
      <c r="A180" s="9" t="s">
        <v>1065</v>
      </c>
      <c r="B180" s="5" t="s">
        <v>1066</v>
      </c>
      <c r="C180" s="5">
        <v>34</v>
      </c>
      <c r="D180" s="5">
        <v>22700</v>
      </c>
      <c r="E180" s="5">
        <v>2318293650</v>
      </c>
      <c r="F180" s="5">
        <v>101600</v>
      </c>
      <c r="G180" s="5">
        <v>101600</v>
      </c>
      <c r="H180" s="5">
        <v>101650</v>
      </c>
      <c r="I180" s="5">
        <v>0.05</v>
      </c>
      <c r="J180" s="5">
        <v>101400</v>
      </c>
      <c r="K180" s="5">
        <v>103600</v>
      </c>
    </row>
    <row r="181" spans="1:11" x14ac:dyDescent="0.3">
      <c r="A181" s="9" t="s">
        <v>254</v>
      </c>
      <c r="B181" s="5" t="s">
        <v>253</v>
      </c>
      <c r="C181" s="5">
        <v>10</v>
      </c>
      <c r="D181" s="5">
        <v>50951</v>
      </c>
      <c r="E181" s="5">
        <v>781615480</v>
      </c>
      <c r="F181" s="5">
        <v>15140</v>
      </c>
      <c r="G181" s="5">
        <v>15300</v>
      </c>
      <c r="H181" s="5">
        <v>15340</v>
      </c>
      <c r="I181" s="5">
        <v>1.32</v>
      </c>
      <c r="J181" s="5">
        <v>15250</v>
      </c>
      <c r="K181" s="5">
        <v>15460</v>
      </c>
    </row>
    <row r="182" spans="1:11" x14ac:dyDescent="0.3">
      <c r="A182" s="9" t="s">
        <v>1706</v>
      </c>
      <c r="B182" s="5" t="s">
        <v>253</v>
      </c>
      <c r="C182" s="5">
        <v>3</v>
      </c>
      <c r="D182" s="5">
        <v>160000</v>
      </c>
      <c r="E182" s="5">
        <v>160000</v>
      </c>
      <c r="F182" s="5">
        <v>15140</v>
      </c>
      <c r="G182" s="5">
        <v>1</v>
      </c>
      <c r="H182" s="5">
        <v>1</v>
      </c>
      <c r="I182" s="5">
        <v>-99.99</v>
      </c>
      <c r="J182" s="5">
        <v>1</v>
      </c>
      <c r="K182" s="5">
        <v>1</v>
      </c>
    </row>
    <row r="183" spans="1:11" x14ac:dyDescent="0.3">
      <c r="A183" s="9" t="s">
        <v>1003</v>
      </c>
      <c r="B183" s="5" t="s">
        <v>1004</v>
      </c>
      <c r="C183" s="5">
        <v>479</v>
      </c>
      <c r="D183" s="5">
        <v>687920</v>
      </c>
      <c r="E183" s="5">
        <v>26299032620</v>
      </c>
      <c r="F183" s="5">
        <v>36630</v>
      </c>
      <c r="G183" s="5">
        <v>39160</v>
      </c>
      <c r="H183" s="5">
        <v>37490</v>
      </c>
      <c r="I183" s="5">
        <v>2.35</v>
      </c>
      <c r="J183" s="5">
        <v>37150</v>
      </c>
      <c r="K183" s="5">
        <v>39160</v>
      </c>
    </row>
    <row r="184" spans="1:11" x14ac:dyDescent="0.3">
      <c r="A184" s="9" t="s">
        <v>1295</v>
      </c>
      <c r="B184" s="5" t="s">
        <v>1296</v>
      </c>
      <c r="C184" s="5">
        <v>1806</v>
      </c>
      <c r="D184" s="5">
        <v>21478881</v>
      </c>
      <c r="E184" s="5">
        <v>147663645050</v>
      </c>
      <c r="F184" s="5">
        <v>7020</v>
      </c>
      <c r="G184" s="5">
        <v>7040</v>
      </c>
      <c r="H184" s="5">
        <v>6870</v>
      </c>
      <c r="I184" s="5">
        <v>-2.14</v>
      </c>
      <c r="J184" s="5">
        <v>6670</v>
      </c>
      <c r="K184" s="5">
        <v>7250</v>
      </c>
    </row>
    <row r="185" spans="1:11" x14ac:dyDescent="0.3">
      <c r="A185" s="9" t="s">
        <v>1436</v>
      </c>
      <c r="B185" s="5" t="s">
        <v>1437</v>
      </c>
      <c r="C185" s="5">
        <v>1276</v>
      </c>
      <c r="D185" s="5">
        <v>47358169</v>
      </c>
      <c r="E185" s="5">
        <v>81193726519</v>
      </c>
      <c r="F185" s="5">
        <v>1746</v>
      </c>
      <c r="G185" s="5">
        <v>1752</v>
      </c>
      <c r="H185" s="5">
        <v>1714</v>
      </c>
      <c r="I185" s="5">
        <v>-1.83</v>
      </c>
      <c r="J185" s="5">
        <v>1697</v>
      </c>
      <c r="K185" s="5">
        <v>1752</v>
      </c>
    </row>
    <row r="186" spans="1:11" x14ac:dyDescent="0.3">
      <c r="A186" s="9" t="s">
        <v>570</v>
      </c>
      <c r="B186" s="5" t="s">
        <v>571</v>
      </c>
      <c r="C186" s="5">
        <v>398</v>
      </c>
      <c r="D186" s="5">
        <v>2355663</v>
      </c>
      <c r="E186" s="5">
        <v>61989848760</v>
      </c>
      <c r="F186" s="5">
        <v>25760</v>
      </c>
      <c r="G186" s="5">
        <v>26330</v>
      </c>
      <c r="H186" s="5">
        <v>26320</v>
      </c>
      <c r="I186" s="5">
        <v>2.17</v>
      </c>
      <c r="J186" s="5">
        <v>25490</v>
      </c>
      <c r="K186" s="5">
        <v>26780</v>
      </c>
    </row>
    <row r="187" spans="1:11" x14ac:dyDescent="0.3">
      <c r="A187" s="9" t="s">
        <v>607</v>
      </c>
      <c r="B187" s="5" t="s">
        <v>608</v>
      </c>
      <c r="C187" s="5">
        <v>113</v>
      </c>
      <c r="D187" s="5">
        <v>908606</v>
      </c>
      <c r="E187" s="5">
        <v>18640996440</v>
      </c>
      <c r="F187" s="5">
        <v>20010</v>
      </c>
      <c r="G187" s="5">
        <v>20580</v>
      </c>
      <c r="H187" s="5">
        <v>20460</v>
      </c>
      <c r="I187" s="5">
        <v>2.25</v>
      </c>
      <c r="J187" s="5">
        <v>19900</v>
      </c>
      <c r="K187" s="5">
        <v>20610</v>
      </c>
    </row>
    <row r="188" spans="1:11" x14ac:dyDescent="0.3">
      <c r="A188" s="9" t="s">
        <v>495</v>
      </c>
      <c r="B188" s="5" t="s">
        <v>496</v>
      </c>
      <c r="C188" s="5">
        <v>1794</v>
      </c>
      <c r="D188" s="5">
        <v>76092650</v>
      </c>
      <c r="E188" s="5">
        <v>129785841005</v>
      </c>
      <c r="F188" s="5">
        <v>1634</v>
      </c>
      <c r="G188" s="5">
        <v>1649</v>
      </c>
      <c r="H188" s="5">
        <v>1706</v>
      </c>
      <c r="I188" s="5">
        <v>4.41</v>
      </c>
      <c r="J188" s="5">
        <v>1630</v>
      </c>
      <c r="K188" s="5">
        <v>1715</v>
      </c>
    </row>
    <row r="189" spans="1:11" x14ac:dyDescent="0.3">
      <c r="A189" s="9" t="s">
        <v>730</v>
      </c>
      <c r="B189" s="5" t="s">
        <v>731</v>
      </c>
      <c r="C189" s="5">
        <v>1</v>
      </c>
      <c r="D189" s="5">
        <v>5000</v>
      </c>
      <c r="E189" s="5">
        <v>4898500000</v>
      </c>
      <c r="F189" s="5">
        <v>970000</v>
      </c>
      <c r="G189" s="5">
        <v>979700</v>
      </c>
      <c r="H189" s="5">
        <v>979700</v>
      </c>
      <c r="I189" s="5">
        <v>1</v>
      </c>
      <c r="J189" s="5">
        <v>979700</v>
      </c>
      <c r="K189" s="5">
        <v>979700</v>
      </c>
    </row>
    <row r="190" spans="1:11" x14ac:dyDescent="0.3">
      <c r="A190" s="9" t="s">
        <v>351</v>
      </c>
      <c r="B190" s="5" t="s">
        <v>350</v>
      </c>
      <c r="C190" s="5">
        <v>100</v>
      </c>
      <c r="D190" s="5">
        <v>1264</v>
      </c>
      <c r="E190" s="5">
        <v>1192865084</v>
      </c>
      <c r="F190" s="5">
        <v>949570</v>
      </c>
      <c r="G190" s="5">
        <v>902092</v>
      </c>
      <c r="H190" s="5">
        <v>943722</v>
      </c>
      <c r="I190" s="5">
        <v>-0.62</v>
      </c>
      <c r="J190" s="5">
        <v>902092</v>
      </c>
      <c r="K190" s="5">
        <v>997048</v>
      </c>
    </row>
    <row r="191" spans="1:11" x14ac:dyDescent="0.3">
      <c r="A191" s="9" t="s">
        <v>349</v>
      </c>
      <c r="B191" s="5" t="s">
        <v>348</v>
      </c>
      <c r="C191" s="5">
        <v>69</v>
      </c>
      <c r="D191" s="5">
        <v>1643</v>
      </c>
      <c r="E191" s="5">
        <v>1591192858</v>
      </c>
      <c r="F191" s="5">
        <v>968145</v>
      </c>
      <c r="G191" s="5">
        <v>919739</v>
      </c>
      <c r="H191" s="5">
        <v>968468</v>
      </c>
      <c r="I191" s="5">
        <v>0.03</v>
      </c>
      <c r="J191" s="5">
        <v>919738</v>
      </c>
      <c r="K191" s="5">
        <v>1016552</v>
      </c>
    </row>
    <row r="192" spans="1:11" x14ac:dyDescent="0.3">
      <c r="A192" s="9" t="s">
        <v>80</v>
      </c>
      <c r="B192" s="5" t="s">
        <v>79</v>
      </c>
      <c r="C192" s="5">
        <v>37</v>
      </c>
      <c r="D192" s="5">
        <v>418</v>
      </c>
      <c r="E192" s="5">
        <v>409206618</v>
      </c>
      <c r="F192" s="5">
        <v>994022</v>
      </c>
      <c r="G192" s="5">
        <v>951000</v>
      </c>
      <c r="H192" s="5">
        <v>978963</v>
      </c>
      <c r="I192" s="5">
        <v>-1.51</v>
      </c>
      <c r="J192" s="5">
        <v>950000</v>
      </c>
      <c r="K192" s="5">
        <v>1020000</v>
      </c>
    </row>
    <row r="193" spans="1:11" x14ac:dyDescent="0.3">
      <c r="A193" s="9" t="s">
        <v>295</v>
      </c>
      <c r="B193" s="5" t="s">
        <v>294</v>
      </c>
      <c r="C193" s="5">
        <v>45</v>
      </c>
      <c r="D193" s="5">
        <v>964</v>
      </c>
      <c r="E193" s="5">
        <v>940350974</v>
      </c>
      <c r="F193" s="5">
        <v>992795</v>
      </c>
      <c r="G193" s="5">
        <v>943157</v>
      </c>
      <c r="H193" s="5">
        <v>975468</v>
      </c>
      <c r="I193" s="5">
        <v>-1.75</v>
      </c>
      <c r="J193" s="5">
        <v>943156</v>
      </c>
      <c r="K193" s="5">
        <v>1042434</v>
      </c>
    </row>
    <row r="194" spans="1:11" x14ac:dyDescent="0.3">
      <c r="A194" s="9" t="s">
        <v>388</v>
      </c>
      <c r="B194" s="5" t="s">
        <v>387</v>
      </c>
      <c r="C194" s="5">
        <v>24</v>
      </c>
      <c r="D194" s="5">
        <v>191</v>
      </c>
      <c r="E194" s="5">
        <v>183291000</v>
      </c>
      <c r="F194" s="5">
        <v>955612</v>
      </c>
      <c r="G194" s="5">
        <v>937000</v>
      </c>
      <c r="H194" s="5">
        <v>959639</v>
      </c>
      <c r="I194" s="5">
        <v>0.42</v>
      </c>
      <c r="J194" s="5">
        <v>930000</v>
      </c>
      <c r="K194" s="5">
        <v>1003000</v>
      </c>
    </row>
    <row r="195" spans="1:11" x14ac:dyDescent="0.3">
      <c r="A195" s="9" t="s">
        <v>72</v>
      </c>
      <c r="B195" s="5" t="s">
        <v>71</v>
      </c>
      <c r="C195" s="5">
        <v>27</v>
      </c>
      <c r="D195" s="5">
        <v>362</v>
      </c>
      <c r="E195" s="5">
        <v>356479456</v>
      </c>
      <c r="F195" s="5">
        <v>956807</v>
      </c>
      <c r="G195" s="5">
        <v>920000</v>
      </c>
      <c r="H195" s="5">
        <v>984750</v>
      </c>
      <c r="I195" s="5">
        <v>2.92</v>
      </c>
      <c r="J195" s="5">
        <v>920000</v>
      </c>
      <c r="K195" s="5">
        <v>1004647</v>
      </c>
    </row>
    <row r="196" spans="1:11" x14ac:dyDescent="0.3">
      <c r="A196" s="9" t="s">
        <v>279</v>
      </c>
      <c r="B196" s="5" t="s">
        <v>278</v>
      </c>
      <c r="C196" s="5">
        <v>23</v>
      </c>
      <c r="D196" s="5">
        <v>324</v>
      </c>
      <c r="E196" s="5">
        <v>313999105</v>
      </c>
      <c r="F196" s="5">
        <v>973121</v>
      </c>
      <c r="G196" s="5">
        <v>924465</v>
      </c>
      <c r="H196" s="5">
        <v>969133</v>
      </c>
      <c r="I196" s="5">
        <v>-0.41</v>
      </c>
      <c r="J196" s="5">
        <v>924465</v>
      </c>
      <c r="K196" s="5">
        <v>1021000</v>
      </c>
    </row>
    <row r="197" spans="1:11" x14ac:dyDescent="0.3">
      <c r="A197" s="9" t="s">
        <v>35</v>
      </c>
      <c r="B197" s="5" t="s">
        <v>34</v>
      </c>
      <c r="C197" s="5">
        <v>25</v>
      </c>
      <c r="D197" s="5">
        <v>620</v>
      </c>
      <c r="E197" s="5">
        <v>580132557</v>
      </c>
      <c r="F197" s="5">
        <v>966735</v>
      </c>
      <c r="G197" s="5">
        <v>920000</v>
      </c>
      <c r="H197" s="5">
        <v>935698</v>
      </c>
      <c r="I197" s="5">
        <v>-3.21</v>
      </c>
      <c r="J197" s="5">
        <v>920000</v>
      </c>
      <c r="K197" s="5">
        <v>1015000</v>
      </c>
    </row>
    <row r="198" spans="1:11" x14ac:dyDescent="0.3">
      <c r="A198" s="9" t="s">
        <v>161</v>
      </c>
      <c r="B198" s="5" t="s">
        <v>160</v>
      </c>
      <c r="C198" s="5">
        <v>26</v>
      </c>
      <c r="D198" s="5">
        <v>416</v>
      </c>
      <c r="E198" s="5">
        <v>411131116</v>
      </c>
      <c r="F198" s="5">
        <v>971867</v>
      </c>
      <c r="G198" s="5">
        <v>923274</v>
      </c>
      <c r="H198" s="5">
        <v>988296</v>
      </c>
      <c r="I198" s="5">
        <v>1.69</v>
      </c>
      <c r="J198" s="5">
        <v>923274</v>
      </c>
      <c r="K198" s="5">
        <v>1020460</v>
      </c>
    </row>
    <row r="199" spans="1:11" x14ac:dyDescent="0.3">
      <c r="A199" s="9" t="s">
        <v>274</v>
      </c>
      <c r="B199" s="5" t="s">
        <v>273</v>
      </c>
      <c r="C199" s="5">
        <v>21</v>
      </c>
      <c r="D199" s="5">
        <v>134</v>
      </c>
      <c r="E199" s="5">
        <v>131056238</v>
      </c>
      <c r="F199" s="5">
        <v>965679</v>
      </c>
      <c r="G199" s="5">
        <v>917397</v>
      </c>
      <c r="H199" s="5">
        <v>978032</v>
      </c>
      <c r="I199" s="5">
        <v>1.28</v>
      </c>
      <c r="J199" s="5">
        <v>917397</v>
      </c>
      <c r="K199" s="5">
        <v>1013000</v>
      </c>
    </row>
    <row r="200" spans="1:11" x14ac:dyDescent="0.3">
      <c r="A200" s="9" t="s">
        <v>287</v>
      </c>
      <c r="B200" s="5" t="s">
        <v>286</v>
      </c>
      <c r="C200" s="5">
        <v>42</v>
      </c>
      <c r="D200" s="5">
        <v>367</v>
      </c>
      <c r="E200" s="5">
        <v>354914065</v>
      </c>
      <c r="F200" s="5">
        <v>972707</v>
      </c>
      <c r="G200" s="5">
        <v>1021342</v>
      </c>
      <c r="H200" s="5">
        <v>967068</v>
      </c>
      <c r="I200" s="5">
        <v>-0.57999999999999996</v>
      </c>
      <c r="J200" s="5">
        <v>924072</v>
      </c>
      <c r="K200" s="5">
        <v>1021342</v>
      </c>
    </row>
    <row r="201" spans="1:11" x14ac:dyDescent="0.3">
      <c r="A201" s="9" t="s">
        <v>142</v>
      </c>
      <c r="B201" s="5" t="s">
        <v>141</v>
      </c>
      <c r="C201" s="5">
        <v>2478</v>
      </c>
      <c r="D201" s="5">
        <v>56164</v>
      </c>
      <c r="E201" s="5">
        <v>56216908646</v>
      </c>
      <c r="F201" s="5">
        <v>1009835</v>
      </c>
      <c r="G201" s="5">
        <v>983653</v>
      </c>
      <c r="H201" s="5">
        <v>1000942</v>
      </c>
      <c r="I201" s="5">
        <v>-0.88</v>
      </c>
      <c r="J201" s="5">
        <v>960000</v>
      </c>
      <c r="K201" s="5">
        <v>1059999</v>
      </c>
    </row>
    <row r="202" spans="1:11" x14ac:dyDescent="0.3">
      <c r="A202" s="9" t="s">
        <v>1368</v>
      </c>
      <c r="B202" s="5" t="s">
        <v>1369</v>
      </c>
      <c r="C202" s="5">
        <v>114</v>
      </c>
      <c r="D202" s="5">
        <v>1584670</v>
      </c>
      <c r="E202" s="5">
        <v>8459914540</v>
      </c>
      <c r="F202" s="5">
        <v>5250</v>
      </c>
      <c r="G202" s="5">
        <v>5400</v>
      </c>
      <c r="H202" s="5">
        <v>5290</v>
      </c>
      <c r="I202" s="5">
        <v>0.76</v>
      </c>
      <c r="J202" s="5">
        <v>5260</v>
      </c>
      <c r="K202" s="5">
        <v>5400</v>
      </c>
    </row>
    <row r="203" spans="1:11" x14ac:dyDescent="0.3">
      <c r="A203" s="9" t="s">
        <v>109</v>
      </c>
      <c r="B203" s="5" t="s">
        <v>108</v>
      </c>
      <c r="C203" s="5">
        <v>411</v>
      </c>
      <c r="D203" s="5">
        <v>12032933</v>
      </c>
      <c r="E203" s="5">
        <v>285114099506</v>
      </c>
      <c r="F203" s="5">
        <v>23646</v>
      </c>
      <c r="G203" s="5">
        <v>22684</v>
      </c>
      <c r="H203" s="5">
        <v>23694</v>
      </c>
      <c r="I203" s="5">
        <v>0.2</v>
      </c>
      <c r="J203" s="5">
        <v>23683</v>
      </c>
      <c r="K203" s="5">
        <v>23900</v>
      </c>
    </row>
    <row r="204" spans="1:11" x14ac:dyDescent="0.3">
      <c r="A204" s="9" t="s">
        <v>1816</v>
      </c>
      <c r="B204" s="5" t="s">
        <v>108</v>
      </c>
      <c r="C204" s="5">
        <v>2</v>
      </c>
      <c r="D204" s="5">
        <v>2000000</v>
      </c>
      <c r="E204" s="5">
        <v>2000000</v>
      </c>
      <c r="F204" s="5">
        <v>23646</v>
      </c>
      <c r="G204" s="5">
        <v>1</v>
      </c>
      <c r="H204" s="5">
        <v>1</v>
      </c>
      <c r="I204" s="5">
        <v>-100</v>
      </c>
      <c r="J204" s="5">
        <v>1</v>
      </c>
      <c r="K204" s="5">
        <v>1</v>
      </c>
    </row>
    <row r="205" spans="1:11" x14ac:dyDescent="0.3">
      <c r="A205" s="9" t="s">
        <v>519</v>
      </c>
      <c r="B205" s="5" t="s">
        <v>520</v>
      </c>
      <c r="C205" s="5">
        <v>360</v>
      </c>
      <c r="D205" s="5">
        <v>639720</v>
      </c>
      <c r="E205" s="5">
        <v>18556822590</v>
      </c>
      <c r="F205" s="5">
        <v>28780</v>
      </c>
      <c r="G205" s="5">
        <v>28740</v>
      </c>
      <c r="H205" s="5">
        <v>29010</v>
      </c>
      <c r="I205" s="5">
        <v>0.8</v>
      </c>
      <c r="J205" s="5">
        <v>28340</v>
      </c>
      <c r="K205" s="5">
        <v>29650</v>
      </c>
    </row>
    <row r="206" spans="1:11" x14ac:dyDescent="0.3">
      <c r="A206" s="9" t="s">
        <v>746</v>
      </c>
      <c r="B206" s="5" t="s">
        <v>747</v>
      </c>
      <c r="C206" s="5">
        <v>557</v>
      </c>
      <c r="D206" s="5">
        <v>4329487</v>
      </c>
      <c r="E206" s="5">
        <v>25915591100</v>
      </c>
      <c r="F206" s="5">
        <v>5920</v>
      </c>
      <c r="G206" s="5">
        <v>6070</v>
      </c>
      <c r="H206" s="5">
        <v>5990</v>
      </c>
      <c r="I206" s="5">
        <v>1.18</v>
      </c>
      <c r="J206" s="5">
        <v>5800</v>
      </c>
      <c r="K206" s="5">
        <v>6150</v>
      </c>
    </row>
    <row r="207" spans="1:11" x14ac:dyDescent="0.3">
      <c r="A207" s="9" t="s">
        <v>1445</v>
      </c>
      <c r="B207" s="5" t="s">
        <v>1446</v>
      </c>
      <c r="C207" s="5">
        <v>467</v>
      </c>
      <c r="D207" s="5">
        <v>16122847</v>
      </c>
      <c r="E207" s="5">
        <v>85203251604</v>
      </c>
      <c r="F207" s="5">
        <v>4806</v>
      </c>
      <c r="G207" s="5">
        <v>5286</v>
      </c>
      <c r="H207" s="5">
        <v>5285</v>
      </c>
      <c r="I207" s="5">
        <v>9.9700000000000006</v>
      </c>
      <c r="J207" s="5">
        <v>5200</v>
      </c>
      <c r="K207" s="5">
        <v>5286</v>
      </c>
    </row>
    <row r="208" spans="1:11" x14ac:dyDescent="0.3">
      <c r="A208" s="9" t="s">
        <v>1570</v>
      </c>
      <c r="B208" s="5" t="s">
        <v>1571</v>
      </c>
      <c r="C208" s="5">
        <v>894</v>
      </c>
      <c r="D208" s="5">
        <v>19539126</v>
      </c>
      <c r="E208" s="5">
        <v>80237614042</v>
      </c>
      <c r="F208" s="5">
        <v>4258</v>
      </c>
      <c r="G208" s="5">
        <v>4380</v>
      </c>
      <c r="H208" s="5">
        <v>4107</v>
      </c>
      <c r="I208" s="5">
        <v>-3.55</v>
      </c>
      <c r="J208" s="5">
        <v>3834</v>
      </c>
      <c r="K208" s="5">
        <v>4380</v>
      </c>
    </row>
    <row r="209" spans="1:11" x14ac:dyDescent="0.3">
      <c r="A209" s="9" t="s">
        <v>165</v>
      </c>
      <c r="B209" s="5" t="s">
        <v>164</v>
      </c>
      <c r="C209" s="5">
        <v>2431</v>
      </c>
      <c r="D209" s="5">
        <v>34043784</v>
      </c>
      <c r="E209" s="5">
        <v>136453546545</v>
      </c>
      <c r="F209" s="5">
        <v>3989</v>
      </c>
      <c r="G209" s="5">
        <v>4080</v>
      </c>
      <c r="H209" s="5">
        <v>4008</v>
      </c>
      <c r="I209" s="5">
        <v>0.48</v>
      </c>
      <c r="J209" s="5">
        <v>3950</v>
      </c>
      <c r="K209" s="5">
        <v>4127</v>
      </c>
    </row>
    <row r="210" spans="1:11" x14ac:dyDescent="0.3">
      <c r="A210" s="9" t="s">
        <v>1655</v>
      </c>
      <c r="B210" s="5" t="s">
        <v>947</v>
      </c>
      <c r="C210" s="5">
        <v>21</v>
      </c>
      <c r="D210" s="5">
        <v>18000000</v>
      </c>
      <c r="E210" s="5">
        <v>18000000</v>
      </c>
      <c r="F210" s="5">
        <v>12800</v>
      </c>
      <c r="G210" s="5">
        <v>1</v>
      </c>
      <c r="H210" s="5">
        <v>1</v>
      </c>
      <c r="I210" s="5">
        <v>-99.99</v>
      </c>
      <c r="J210" s="5">
        <v>1</v>
      </c>
      <c r="K210" s="5">
        <v>1</v>
      </c>
    </row>
    <row r="211" spans="1:11" x14ac:dyDescent="0.3">
      <c r="A211" s="9" t="s">
        <v>756</v>
      </c>
      <c r="B211" s="5" t="s">
        <v>757</v>
      </c>
      <c r="C211" s="5">
        <v>910</v>
      </c>
      <c r="D211" s="5">
        <v>17418069</v>
      </c>
      <c r="E211" s="5">
        <v>54015257074</v>
      </c>
      <c r="F211" s="5">
        <v>3058</v>
      </c>
      <c r="G211" s="5">
        <v>3177</v>
      </c>
      <c r="H211" s="5">
        <v>3101</v>
      </c>
      <c r="I211" s="5">
        <v>1.41</v>
      </c>
      <c r="J211" s="5">
        <v>3003</v>
      </c>
      <c r="K211" s="5">
        <v>3177</v>
      </c>
    </row>
    <row r="212" spans="1:11" x14ac:dyDescent="0.3">
      <c r="A212" s="9" t="s">
        <v>1459</v>
      </c>
      <c r="B212" s="5" t="s">
        <v>1460</v>
      </c>
      <c r="C212" s="5">
        <v>3</v>
      </c>
      <c r="D212" s="5">
        <v>19</v>
      </c>
      <c r="E212" s="5">
        <v>11460667</v>
      </c>
      <c r="F212" s="5">
        <v>634939</v>
      </c>
      <c r="G212" s="5">
        <v>603193</v>
      </c>
      <c r="H212" s="5">
        <v>603193</v>
      </c>
      <c r="I212" s="5">
        <v>-5</v>
      </c>
      <c r="J212" s="5">
        <v>603193</v>
      </c>
      <c r="K212" s="5">
        <v>603193</v>
      </c>
    </row>
    <row r="213" spans="1:11" x14ac:dyDescent="0.3">
      <c r="A213" s="9" t="s">
        <v>1492</v>
      </c>
      <c r="B213" s="5" t="s">
        <v>1493</v>
      </c>
      <c r="C213" s="5">
        <v>1096</v>
      </c>
      <c r="D213" s="5">
        <v>38070245</v>
      </c>
      <c r="E213" s="5">
        <v>158138227529</v>
      </c>
      <c r="F213" s="5">
        <v>4224</v>
      </c>
      <c r="G213" s="5">
        <v>4297</v>
      </c>
      <c r="H213" s="5">
        <v>4154</v>
      </c>
      <c r="I213" s="5">
        <v>-1.66</v>
      </c>
      <c r="J213" s="5">
        <v>4113</v>
      </c>
      <c r="K213" s="5">
        <v>4297</v>
      </c>
    </row>
    <row r="214" spans="1:11" x14ac:dyDescent="0.3">
      <c r="A214" s="9" t="s">
        <v>644</v>
      </c>
      <c r="B214" s="5" t="s">
        <v>1244</v>
      </c>
      <c r="C214" s="5">
        <v>13290</v>
      </c>
      <c r="D214" s="5">
        <v>145799151</v>
      </c>
      <c r="E214" s="5">
        <v>2855643808383</v>
      </c>
      <c r="F214" s="5">
        <v>18709</v>
      </c>
      <c r="G214" s="5">
        <v>19839</v>
      </c>
      <c r="H214" s="5">
        <v>19586</v>
      </c>
      <c r="I214" s="5">
        <v>4.6900000000000004</v>
      </c>
      <c r="J214" s="5">
        <v>18620</v>
      </c>
      <c r="K214" s="5">
        <v>20200</v>
      </c>
    </row>
    <row r="215" spans="1:11" x14ac:dyDescent="0.3">
      <c r="A215" s="9" t="s">
        <v>1663</v>
      </c>
      <c r="B215" s="5" t="s">
        <v>1244</v>
      </c>
      <c r="C215" s="5">
        <v>66</v>
      </c>
      <c r="D215" s="5">
        <v>6600000</v>
      </c>
      <c r="E215" s="5">
        <v>6600000</v>
      </c>
      <c r="F215" s="5">
        <v>18709</v>
      </c>
      <c r="G215" s="5">
        <v>1</v>
      </c>
      <c r="H215" s="5">
        <v>1</v>
      </c>
      <c r="I215" s="5">
        <v>-99.99</v>
      </c>
      <c r="J215" s="5">
        <v>1</v>
      </c>
      <c r="K215" s="5">
        <v>1</v>
      </c>
    </row>
    <row r="216" spans="1:11" x14ac:dyDescent="0.3">
      <c r="A216" s="9" t="s">
        <v>1203</v>
      </c>
      <c r="B216" s="5" t="s">
        <v>1194</v>
      </c>
      <c r="C216" s="5">
        <v>1182</v>
      </c>
      <c r="D216" s="5">
        <v>8397745</v>
      </c>
      <c r="E216" s="5">
        <v>136160240920</v>
      </c>
      <c r="F216" s="5">
        <v>16340</v>
      </c>
      <c r="G216" s="5">
        <v>15560</v>
      </c>
      <c r="H216" s="5">
        <v>16210</v>
      </c>
      <c r="I216" s="5">
        <v>-0.8</v>
      </c>
      <c r="J216" s="5">
        <v>15560</v>
      </c>
      <c r="K216" s="5">
        <v>16500</v>
      </c>
    </row>
    <row r="217" spans="1:11" x14ac:dyDescent="0.3">
      <c r="A217" s="9" t="s">
        <v>171</v>
      </c>
      <c r="B217" s="5" t="s">
        <v>170</v>
      </c>
      <c r="C217" s="5">
        <v>26</v>
      </c>
      <c r="D217" s="5">
        <v>303569</v>
      </c>
      <c r="E217" s="5">
        <v>1530569802</v>
      </c>
      <c r="F217" s="5">
        <v>4946</v>
      </c>
      <c r="G217" s="5">
        <v>5044</v>
      </c>
      <c r="H217" s="5">
        <v>4960</v>
      </c>
      <c r="I217" s="5">
        <v>0.28000000000000003</v>
      </c>
      <c r="J217" s="5">
        <v>4970</v>
      </c>
      <c r="K217" s="5">
        <v>5044</v>
      </c>
    </row>
    <row r="218" spans="1:11" x14ac:dyDescent="0.3">
      <c r="A218" s="9" t="s">
        <v>758</v>
      </c>
      <c r="B218" s="5" t="s">
        <v>759</v>
      </c>
      <c r="C218" s="5">
        <v>48</v>
      </c>
      <c r="D218" s="5">
        <v>155467</v>
      </c>
      <c r="E218" s="5">
        <v>2643638700</v>
      </c>
      <c r="F218" s="5">
        <v>16800</v>
      </c>
      <c r="G218" s="5">
        <v>16500</v>
      </c>
      <c r="H218" s="5">
        <v>16830</v>
      </c>
      <c r="I218" s="5">
        <v>0.18</v>
      </c>
      <c r="J218" s="5">
        <v>16500</v>
      </c>
      <c r="K218" s="5">
        <v>17300</v>
      </c>
    </row>
    <row r="219" spans="1:11" x14ac:dyDescent="0.3">
      <c r="A219" s="9" t="s">
        <v>1358</v>
      </c>
      <c r="B219" s="5" t="s">
        <v>1359</v>
      </c>
      <c r="C219" s="5">
        <v>1237</v>
      </c>
      <c r="D219" s="5">
        <v>5215465</v>
      </c>
      <c r="E219" s="5">
        <v>76663160540</v>
      </c>
      <c r="F219" s="5">
        <v>14240</v>
      </c>
      <c r="G219" s="5">
        <v>14490</v>
      </c>
      <c r="H219" s="5">
        <v>14700</v>
      </c>
      <c r="I219" s="5">
        <v>3.23</v>
      </c>
      <c r="J219" s="5">
        <v>14260</v>
      </c>
      <c r="K219" s="5">
        <v>15000</v>
      </c>
    </row>
    <row r="220" spans="1:11" x14ac:dyDescent="0.3">
      <c r="A220" s="9" t="s">
        <v>1667</v>
      </c>
      <c r="B220" s="5" t="s">
        <v>1668</v>
      </c>
      <c r="C220" s="5">
        <v>276</v>
      </c>
      <c r="D220" s="5">
        <v>1444202</v>
      </c>
      <c r="E220" s="5">
        <v>35918445980</v>
      </c>
      <c r="F220" s="5">
        <v>26170</v>
      </c>
      <c r="G220" s="5">
        <v>24870</v>
      </c>
      <c r="H220" s="5">
        <v>24870</v>
      </c>
      <c r="I220" s="5">
        <v>-4.97</v>
      </c>
      <c r="J220" s="5">
        <v>24870</v>
      </c>
      <c r="K220" s="5">
        <v>25000</v>
      </c>
    </row>
    <row r="221" spans="1:11" x14ac:dyDescent="0.3">
      <c r="A221" s="9" t="s">
        <v>246</v>
      </c>
      <c r="B221" s="5" t="s">
        <v>206</v>
      </c>
      <c r="C221" s="5">
        <v>942</v>
      </c>
      <c r="D221" s="5">
        <v>61147377</v>
      </c>
      <c r="E221" s="5">
        <v>847952059046</v>
      </c>
      <c r="F221" s="5">
        <v>13837</v>
      </c>
      <c r="G221" s="5">
        <v>13874</v>
      </c>
      <c r="H221" s="5">
        <v>13867</v>
      </c>
      <c r="I221" s="5">
        <v>0.22</v>
      </c>
      <c r="J221" s="5">
        <v>13864</v>
      </c>
      <c r="K221" s="5">
        <v>13876</v>
      </c>
    </row>
    <row r="222" spans="1:11" x14ac:dyDescent="0.3">
      <c r="A222" s="9" t="s">
        <v>1683</v>
      </c>
      <c r="B222" s="5" t="s">
        <v>206</v>
      </c>
      <c r="C222" s="5">
        <v>53</v>
      </c>
      <c r="D222" s="5">
        <v>492200000</v>
      </c>
      <c r="E222" s="5">
        <v>492200000</v>
      </c>
      <c r="F222" s="5">
        <v>13837</v>
      </c>
      <c r="G222" s="5">
        <v>1</v>
      </c>
      <c r="H222" s="5">
        <v>1</v>
      </c>
      <c r="I222" s="5">
        <v>-99.99</v>
      </c>
      <c r="J222" s="5">
        <v>1</v>
      </c>
      <c r="K222" s="5">
        <v>1</v>
      </c>
    </row>
    <row r="223" spans="1:11" x14ac:dyDescent="0.3">
      <c r="A223" s="9" t="s">
        <v>1857</v>
      </c>
      <c r="B223" s="5" t="s">
        <v>206</v>
      </c>
      <c r="C223" s="5">
        <v>3</v>
      </c>
      <c r="D223" s="5">
        <v>153447000</v>
      </c>
      <c r="E223" s="5">
        <v>2126968867000</v>
      </c>
      <c r="F223" s="5">
        <v>13837</v>
      </c>
      <c r="G223" s="5">
        <v>13863</v>
      </c>
      <c r="H223" s="5">
        <v>13861</v>
      </c>
      <c r="I223" s="5">
        <v>0.17</v>
      </c>
      <c r="J223" s="5">
        <v>13861</v>
      </c>
      <c r="K223" s="5">
        <v>13863</v>
      </c>
    </row>
    <row r="224" spans="1:11" x14ac:dyDescent="0.3">
      <c r="A224" s="9" t="s">
        <v>830</v>
      </c>
      <c r="B224" s="5" t="s">
        <v>831</v>
      </c>
      <c r="C224" s="5">
        <v>258</v>
      </c>
      <c r="D224" s="5">
        <v>1201369</v>
      </c>
      <c r="E224" s="5">
        <v>13659933560</v>
      </c>
      <c r="F224" s="5">
        <v>10950</v>
      </c>
      <c r="G224" s="5">
        <v>10820</v>
      </c>
      <c r="H224" s="5">
        <v>11310</v>
      </c>
      <c r="I224" s="5">
        <v>3.29</v>
      </c>
      <c r="J224" s="5">
        <v>10820</v>
      </c>
      <c r="K224" s="5">
        <v>11710</v>
      </c>
    </row>
    <row r="225" spans="1:11" x14ac:dyDescent="0.3">
      <c r="A225" s="9" t="s">
        <v>844</v>
      </c>
      <c r="B225" s="5" t="s">
        <v>845</v>
      </c>
      <c r="C225" s="5">
        <v>726</v>
      </c>
      <c r="D225" s="5">
        <v>6085846</v>
      </c>
      <c r="E225" s="5">
        <v>34656447610</v>
      </c>
      <c r="F225" s="5">
        <v>5610</v>
      </c>
      <c r="G225" s="5">
        <v>5710</v>
      </c>
      <c r="H225" s="5">
        <v>5690</v>
      </c>
      <c r="I225" s="5">
        <v>1.43</v>
      </c>
      <c r="J225" s="5">
        <v>5510</v>
      </c>
      <c r="K225" s="5">
        <v>5860</v>
      </c>
    </row>
    <row r="226" spans="1:11" x14ac:dyDescent="0.3">
      <c r="A226" s="9" t="s">
        <v>929</v>
      </c>
      <c r="B226" s="5" t="s">
        <v>930</v>
      </c>
      <c r="C226" s="5">
        <v>755</v>
      </c>
      <c r="D226" s="5">
        <v>12623088</v>
      </c>
      <c r="E226" s="5">
        <v>60708035287</v>
      </c>
      <c r="F226" s="5">
        <v>4649</v>
      </c>
      <c r="G226" s="5">
        <v>4760</v>
      </c>
      <c r="H226" s="5">
        <v>4809</v>
      </c>
      <c r="I226" s="5">
        <v>3.44</v>
      </c>
      <c r="J226" s="5">
        <v>4650</v>
      </c>
      <c r="K226" s="5">
        <v>4881</v>
      </c>
    </row>
    <row r="227" spans="1:11" x14ac:dyDescent="0.3">
      <c r="A227" s="9" t="s">
        <v>21</v>
      </c>
      <c r="B227" s="5" t="s">
        <v>20</v>
      </c>
      <c r="C227" s="5">
        <v>52</v>
      </c>
      <c r="D227" s="5">
        <v>253108</v>
      </c>
      <c r="E227" s="5">
        <v>32521483368</v>
      </c>
      <c r="F227" s="5">
        <v>126067</v>
      </c>
      <c r="G227" s="5">
        <v>128210</v>
      </c>
      <c r="H227" s="5">
        <v>128489</v>
      </c>
      <c r="I227" s="5">
        <v>1.92</v>
      </c>
      <c r="J227" s="5">
        <v>127002</v>
      </c>
      <c r="K227" s="5">
        <v>130000</v>
      </c>
    </row>
    <row r="228" spans="1:11" x14ac:dyDescent="0.3">
      <c r="A228" s="9" t="s">
        <v>1399</v>
      </c>
      <c r="B228" s="5" t="s">
        <v>1400</v>
      </c>
      <c r="C228" s="5">
        <v>1190</v>
      </c>
      <c r="D228" s="5">
        <v>5754996</v>
      </c>
      <c r="E228" s="5">
        <v>82055752010</v>
      </c>
      <c r="F228" s="5">
        <v>14440</v>
      </c>
      <c r="G228" s="5">
        <v>15090</v>
      </c>
      <c r="H228" s="5">
        <v>14260</v>
      </c>
      <c r="I228" s="5">
        <v>-1.25</v>
      </c>
      <c r="J228" s="5">
        <v>13900</v>
      </c>
      <c r="K228" s="5">
        <v>15090</v>
      </c>
    </row>
    <row r="229" spans="1:11" x14ac:dyDescent="0.3">
      <c r="A229" s="9" t="s">
        <v>1188</v>
      </c>
      <c r="B229" s="5" t="s">
        <v>1189</v>
      </c>
      <c r="C229" s="5">
        <v>45</v>
      </c>
      <c r="D229" s="5">
        <v>160439</v>
      </c>
      <c r="E229" s="5">
        <v>4494457900</v>
      </c>
      <c r="F229" s="5">
        <v>27850</v>
      </c>
      <c r="G229" s="5">
        <v>27500</v>
      </c>
      <c r="H229" s="5">
        <v>27900</v>
      </c>
      <c r="I229" s="5">
        <v>0.18</v>
      </c>
      <c r="J229" s="5">
        <v>27100</v>
      </c>
      <c r="K229" s="5">
        <v>28550</v>
      </c>
    </row>
    <row r="230" spans="1:11" x14ac:dyDescent="0.3">
      <c r="A230" s="9" t="s">
        <v>579</v>
      </c>
      <c r="B230" s="5" t="s">
        <v>580</v>
      </c>
      <c r="C230" s="5">
        <v>1354</v>
      </c>
      <c r="D230" s="5">
        <v>17829426</v>
      </c>
      <c r="E230" s="5">
        <v>188792442560</v>
      </c>
      <c r="F230" s="5">
        <v>9910</v>
      </c>
      <c r="G230" s="5">
        <v>10590</v>
      </c>
      <c r="H230" s="5">
        <v>10590</v>
      </c>
      <c r="I230" s="5">
        <v>6.86</v>
      </c>
      <c r="J230" s="5">
        <v>10320</v>
      </c>
      <c r="K230" s="5">
        <v>10600</v>
      </c>
    </row>
    <row r="231" spans="1:11" x14ac:dyDescent="0.3">
      <c r="A231" s="9" t="s">
        <v>1504</v>
      </c>
      <c r="B231" s="5" t="s">
        <v>1505</v>
      </c>
      <c r="C231" s="5">
        <v>130</v>
      </c>
      <c r="D231" s="5">
        <v>6768701</v>
      </c>
      <c r="E231" s="5">
        <v>40011344640</v>
      </c>
      <c r="F231" s="5">
        <v>5640</v>
      </c>
      <c r="G231" s="5">
        <v>5730</v>
      </c>
      <c r="H231" s="5">
        <v>5910</v>
      </c>
      <c r="I231" s="5">
        <v>4.79</v>
      </c>
      <c r="J231" s="5">
        <v>5730</v>
      </c>
      <c r="K231" s="5">
        <v>5920</v>
      </c>
    </row>
    <row r="232" spans="1:11" x14ac:dyDescent="0.3">
      <c r="A232" s="9" t="s">
        <v>1173</v>
      </c>
      <c r="B232" s="5" t="s">
        <v>1174</v>
      </c>
      <c r="C232" s="5">
        <v>1</v>
      </c>
      <c r="D232" s="5">
        <v>3900</v>
      </c>
      <c r="E232" s="5">
        <v>51987000</v>
      </c>
      <c r="F232" s="5">
        <v>13600</v>
      </c>
      <c r="G232" s="5">
        <v>13330</v>
      </c>
      <c r="H232" s="5">
        <v>13600</v>
      </c>
      <c r="I232" s="5">
        <v>0</v>
      </c>
      <c r="J232" s="5">
        <v>13330</v>
      </c>
      <c r="K232" s="5">
        <v>13330</v>
      </c>
    </row>
    <row r="233" spans="1:11" x14ac:dyDescent="0.3">
      <c r="A233" s="9" t="s">
        <v>977</v>
      </c>
      <c r="B233" s="5" t="s">
        <v>978</v>
      </c>
      <c r="C233" s="5">
        <v>1552</v>
      </c>
      <c r="D233" s="5">
        <v>8010719</v>
      </c>
      <c r="E233" s="5">
        <v>92650023300</v>
      </c>
      <c r="F233" s="5">
        <v>11170</v>
      </c>
      <c r="G233" s="5">
        <v>11500</v>
      </c>
      <c r="H233" s="5">
        <v>11570</v>
      </c>
      <c r="I233" s="5">
        <v>3.58</v>
      </c>
      <c r="J233" s="5">
        <v>11250</v>
      </c>
      <c r="K233" s="5">
        <v>11760</v>
      </c>
    </row>
    <row r="234" spans="1:11" x14ac:dyDescent="0.3">
      <c r="A234" s="9" t="s">
        <v>788</v>
      </c>
      <c r="B234" s="5" t="s">
        <v>789</v>
      </c>
      <c r="C234" s="5">
        <v>1171</v>
      </c>
      <c r="D234" s="5">
        <v>14678524</v>
      </c>
      <c r="E234" s="5">
        <v>119763430930</v>
      </c>
      <c r="F234" s="5">
        <v>7750</v>
      </c>
      <c r="G234" s="5">
        <v>7950</v>
      </c>
      <c r="H234" s="5">
        <v>8160</v>
      </c>
      <c r="I234" s="5">
        <v>5.29</v>
      </c>
      <c r="J234" s="5">
        <v>7860</v>
      </c>
      <c r="K234" s="5">
        <v>8290</v>
      </c>
    </row>
    <row r="235" spans="1:11" x14ac:dyDescent="0.3">
      <c r="A235" s="9" t="s">
        <v>1040</v>
      </c>
      <c r="B235" s="5" t="s">
        <v>1041</v>
      </c>
      <c r="C235" s="5">
        <v>2499</v>
      </c>
      <c r="D235" s="5">
        <v>27704259</v>
      </c>
      <c r="E235" s="5">
        <v>471766181260</v>
      </c>
      <c r="F235" s="5">
        <v>16370</v>
      </c>
      <c r="G235" s="5">
        <v>16420</v>
      </c>
      <c r="H235" s="5">
        <v>17030</v>
      </c>
      <c r="I235" s="5">
        <v>4.03</v>
      </c>
      <c r="J235" s="5">
        <v>16420</v>
      </c>
      <c r="K235" s="5">
        <v>17180</v>
      </c>
    </row>
    <row r="236" spans="1:11" x14ac:dyDescent="0.3">
      <c r="A236" s="9" t="s">
        <v>1738</v>
      </c>
      <c r="B236" s="5" t="s">
        <v>1739</v>
      </c>
      <c r="C236" s="5">
        <v>175</v>
      </c>
      <c r="D236" s="5">
        <v>3171209</v>
      </c>
      <c r="E236" s="5">
        <v>39173020200</v>
      </c>
      <c r="F236" s="5">
        <v>12000</v>
      </c>
      <c r="G236" s="5">
        <v>11640</v>
      </c>
      <c r="H236" s="5">
        <v>12350</v>
      </c>
      <c r="I236" s="5">
        <v>2.92</v>
      </c>
      <c r="J236" s="5">
        <v>11640</v>
      </c>
      <c r="K236" s="5">
        <v>12360</v>
      </c>
    </row>
    <row r="237" spans="1:11" x14ac:dyDescent="0.3">
      <c r="A237" s="9" t="s">
        <v>49</v>
      </c>
      <c r="B237" s="5" t="s">
        <v>48</v>
      </c>
      <c r="C237" s="5">
        <v>71</v>
      </c>
      <c r="D237" s="5">
        <v>1043998</v>
      </c>
      <c r="E237" s="5">
        <v>17996553544</v>
      </c>
      <c r="F237" s="5">
        <v>17095</v>
      </c>
      <c r="G237" s="5">
        <v>18500</v>
      </c>
      <c r="H237" s="5">
        <v>17238</v>
      </c>
      <c r="I237" s="5">
        <v>0.84</v>
      </c>
      <c r="J237" s="5">
        <v>16705</v>
      </c>
      <c r="K237" s="5">
        <v>18500</v>
      </c>
    </row>
    <row r="238" spans="1:11" x14ac:dyDescent="0.3">
      <c r="A238" s="9" t="s">
        <v>712</v>
      </c>
      <c r="B238" s="5" t="s">
        <v>713</v>
      </c>
      <c r="C238" s="5">
        <v>44</v>
      </c>
      <c r="D238" s="5">
        <v>187356</v>
      </c>
      <c r="E238" s="5">
        <v>2791934066</v>
      </c>
      <c r="F238" s="5">
        <v>13824</v>
      </c>
      <c r="G238" s="5">
        <v>14500</v>
      </c>
      <c r="H238" s="5">
        <v>14902</v>
      </c>
      <c r="I238" s="5">
        <v>7.8</v>
      </c>
      <c r="J238" s="5">
        <v>14200</v>
      </c>
      <c r="K238" s="5">
        <v>15000</v>
      </c>
    </row>
    <row r="239" spans="1:11" x14ac:dyDescent="0.3">
      <c r="A239" s="9" t="s">
        <v>1443</v>
      </c>
      <c r="B239" s="5" t="s">
        <v>1444</v>
      </c>
      <c r="C239" s="5">
        <v>8</v>
      </c>
      <c r="D239" s="5">
        <v>41002</v>
      </c>
      <c r="E239" s="5">
        <v>2480621000</v>
      </c>
      <c r="F239" s="5">
        <v>62350</v>
      </c>
      <c r="G239" s="5">
        <v>60500</v>
      </c>
      <c r="H239" s="5">
        <v>62100</v>
      </c>
      <c r="I239" s="5">
        <v>-0.4</v>
      </c>
      <c r="J239" s="5">
        <v>60500</v>
      </c>
      <c r="K239" s="5">
        <v>60500</v>
      </c>
    </row>
    <row r="240" spans="1:11" x14ac:dyDescent="0.3">
      <c r="A240" s="9" t="s">
        <v>923</v>
      </c>
      <c r="B240" s="5" t="s">
        <v>924</v>
      </c>
      <c r="C240" s="5">
        <v>748</v>
      </c>
      <c r="D240" s="5">
        <v>13647324</v>
      </c>
      <c r="E240" s="5">
        <v>67290589547</v>
      </c>
      <c r="F240" s="5">
        <v>4726</v>
      </c>
      <c r="G240" s="5">
        <v>4900</v>
      </c>
      <c r="H240" s="5">
        <v>4931</v>
      </c>
      <c r="I240" s="5">
        <v>4.34</v>
      </c>
      <c r="J240" s="5">
        <v>4750</v>
      </c>
      <c r="K240" s="5">
        <v>4962</v>
      </c>
    </row>
    <row r="241" spans="1:11" x14ac:dyDescent="0.3">
      <c r="A241" s="9" t="s">
        <v>180</v>
      </c>
      <c r="B241" s="5" t="s">
        <v>179</v>
      </c>
      <c r="C241" s="5">
        <v>18</v>
      </c>
      <c r="D241" s="5">
        <v>22313</v>
      </c>
      <c r="E241" s="5">
        <v>351474070</v>
      </c>
      <c r="F241" s="5">
        <v>14630</v>
      </c>
      <c r="G241" s="5">
        <v>15740</v>
      </c>
      <c r="H241" s="5">
        <v>15750</v>
      </c>
      <c r="I241" s="5">
        <v>7.66</v>
      </c>
      <c r="J241" s="5">
        <v>15730</v>
      </c>
      <c r="K241" s="5">
        <v>16050</v>
      </c>
    </row>
    <row r="242" spans="1:11" x14ac:dyDescent="0.3">
      <c r="A242" s="9" t="s">
        <v>525</v>
      </c>
      <c r="B242" s="5" t="s">
        <v>526</v>
      </c>
      <c r="C242" s="5">
        <v>460</v>
      </c>
      <c r="D242" s="5">
        <v>195045</v>
      </c>
      <c r="E242" s="5">
        <v>34283609090</v>
      </c>
      <c r="F242" s="5">
        <v>172680</v>
      </c>
      <c r="G242" s="5">
        <v>181310</v>
      </c>
      <c r="H242" s="5">
        <v>173710</v>
      </c>
      <c r="I242" s="5">
        <v>0.6</v>
      </c>
      <c r="J242" s="5">
        <v>170010</v>
      </c>
      <c r="K242" s="5">
        <v>181310</v>
      </c>
    </row>
    <row r="243" spans="1:11" x14ac:dyDescent="0.3">
      <c r="A243" s="9" t="s">
        <v>509</v>
      </c>
      <c r="B243" s="5" t="s">
        <v>510</v>
      </c>
      <c r="C243" s="5">
        <v>174</v>
      </c>
      <c r="D243" s="5">
        <v>5844330</v>
      </c>
      <c r="E243" s="5">
        <v>5489841355</v>
      </c>
      <c r="F243" s="5">
        <v>918</v>
      </c>
      <c r="G243" s="5">
        <v>937</v>
      </c>
      <c r="H243" s="5">
        <v>924</v>
      </c>
      <c r="I243" s="5">
        <v>0.65</v>
      </c>
      <c r="J243" s="5">
        <v>926</v>
      </c>
      <c r="K243" s="5">
        <v>945</v>
      </c>
    </row>
    <row r="244" spans="1:11" x14ac:dyDescent="0.3">
      <c r="A244" s="9" t="s">
        <v>695</v>
      </c>
      <c r="B244" s="5" t="s">
        <v>696</v>
      </c>
      <c r="C244" s="5">
        <v>568</v>
      </c>
      <c r="D244" s="5">
        <v>9757039</v>
      </c>
      <c r="E244" s="5">
        <v>55009540240</v>
      </c>
      <c r="F244" s="5">
        <v>5680</v>
      </c>
      <c r="G244" s="5">
        <v>5750</v>
      </c>
      <c r="H244" s="5">
        <v>5640</v>
      </c>
      <c r="I244" s="5">
        <v>-0.7</v>
      </c>
      <c r="J244" s="5">
        <v>5580</v>
      </c>
      <c r="K244" s="5">
        <v>5750</v>
      </c>
    </row>
    <row r="245" spans="1:11" x14ac:dyDescent="0.3">
      <c r="A245" s="9" t="s">
        <v>943</v>
      </c>
      <c r="B245" s="5" t="s">
        <v>944</v>
      </c>
      <c r="C245" s="5">
        <v>756</v>
      </c>
      <c r="D245" s="5">
        <v>8340370</v>
      </c>
      <c r="E245" s="5">
        <v>52846575950</v>
      </c>
      <c r="F245" s="5">
        <v>6610</v>
      </c>
      <c r="G245" s="5">
        <v>6580</v>
      </c>
      <c r="H245" s="5">
        <v>6340</v>
      </c>
      <c r="I245" s="5">
        <v>-4.08</v>
      </c>
      <c r="J245" s="5">
        <v>6280</v>
      </c>
      <c r="K245" s="5">
        <v>6580</v>
      </c>
    </row>
    <row r="246" spans="1:11" x14ac:dyDescent="0.3">
      <c r="A246" s="9" t="s">
        <v>487</v>
      </c>
      <c r="B246" s="5" t="s">
        <v>488</v>
      </c>
      <c r="C246" s="5">
        <v>1715</v>
      </c>
      <c r="D246" s="5">
        <v>875287</v>
      </c>
      <c r="E246" s="5">
        <v>30378496350</v>
      </c>
      <c r="F246" s="5">
        <v>35000</v>
      </c>
      <c r="G246" s="5">
        <v>35400</v>
      </c>
      <c r="H246" s="5">
        <v>34700</v>
      </c>
      <c r="I246" s="5">
        <v>-0.86</v>
      </c>
      <c r="J246" s="5">
        <v>34350</v>
      </c>
      <c r="K246" s="5">
        <v>35700</v>
      </c>
    </row>
    <row r="247" spans="1:11" x14ac:dyDescent="0.3">
      <c r="A247" s="9" t="s">
        <v>1433</v>
      </c>
      <c r="B247" s="5" t="s">
        <v>1434</v>
      </c>
      <c r="C247" s="5">
        <v>1071</v>
      </c>
      <c r="D247" s="5">
        <v>24221098</v>
      </c>
      <c r="E247" s="5">
        <v>58801614221</v>
      </c>
      <c r="F247" s="5">
        <v>2390</v>
      </c>
      <c r="G247" s="5">
        <v>2484</v>
      </c>
      <c r="H247" s="5">
        <v>2428</v>
      </c>
      <c r="I247" s="5">
        <v>1.59</v>
      </c>
      <c r="J247" s="5">
        <v>2398</v>
      </c>
      <c r="K247" s="5">
        <v>2484</v>
      </c>
    </row>
    <row r="248" spans="1:11" x14ac:dyDescent="0.3">
      <c r="A248" s="9" t="s">
        <v>1124</v>
      </c>
      <c r="B248" s="5" t="s">
        <v>1125</v>
      </c>
      <c r="C248" s="5">
        <v>454</v>
      </c>
      <c r="D248" s="5">
        <v>4058318</v>
      </c>
      <c r="E248" s="5">
        <v>26684181550</v>
      </c>
      <c r="F248" s="5">
        <v>6460</v>
      </c>
      <c r="G248" s="5">
        <v>6580</v>
      </c>
      <c r="H248" s="5">
        <v>6580</v>
      </c>
      <c r="I248" s="5">
        <v>1.86</v>
      </c>
      <c r="J248" s="5">
        <v>6390</v>
      </c>
      <c r="K248" s="5">
        <v>6710</v>
      </c>
    </row>
    <row r="249" spans="1:11" x14ac:dyDescent="0.3">
      <c r="A249" s="9" t="s">
        <v>726</v>
      </c>
      <c r="B249" s="5" t="s">
        <v>727</v>
      </c>
      <c r="C249" s="5">
        <v>966</v>
      </c>
      <c r="D249" s="5">
        <v>15304356</v>
      </c>
      <c r="E249" s="5">
        <v>67116267539</v>
      </c>
      <c r="F249" s="5">
        <v>4308</v>
      </c>
      <c r="G249" s="5">
        <v>4370</v>
      </c>
      <c r="H249" s="5">
        <v>4385</v>
      </c>
      <c r="I249" s="5">
        <v>1.79</v>
      </c>
      <c r="J249" s="5">
        <v>4315</v>
      </c>
      <c r="K249" s="5">
        <v>4480</v>
      </c>
    </row>
    <row r="250" spans="1:11" x14ac:dyDescent="0.3">
      <c r="A250" s="9" t="s">
        <v>903</v>
      </c>
      <c r="B250" s="5" t="s">
        <v>904</v>
      </c>
      <c r="C250" s="5">
        <v>14</v>
      </c>
      <c r="D250" s="5">
        <v>22789</v>
      </c>
      <c r="E250" s="5">
        <v>986763700</v>
      </c>
      <c r="F250" s="5">
        <v>42050</v>
      </c>
      <c r="G250" s="5">
        <v>43300</v>
      </c>
      <c r="H250" s="5">
        <v>43300</v>
      </c>
      <c r="I250" s="5">
        <v>2.97</v>
      </c>
      <c r="J250" s="5">
        <v>43300</v>
      </c>
      <c r="K250" s="5">
        <v>43300</v>
      </c>
    </row>
    <row r="251" spans="1:11" x14ac:dyDescent="0.3">
      <c r="A251" s="9" t="s">
        <v>100</v>
      </c>
      <c r="B251" s="5" t="s">
        <v>99</v>
      </c>
      <c r="C251" s="5">
        <v>49</v>
      </c>
      <c r="D251" s="5">
        <v>602578</v>
      </c>
      <c r="E251" s="5">
        <v>3295124190</v>
      </c>
      <c r="F251" s="5">
        <v>5370</v>
      </c>
      <c r="G251" s="5">
        <v>5440</v>
      </c>
      <c r="H251" s="5">
        <v>5400</v>
      </c>
      <c r="I251" s="5">
        <v>0.56000000000000005</v>
      </c>
      <c r="J251" s="5">
        <v>5410</v>
      </c>
      <c r="K251" s="5">
        <v>5470</v>
      </c>
    </row>
    <row r="252" spans="1:11" x14ac:dyDescent="0.3">
      <c r="A252" s="9" t="s">
        <v>1107</v>
      </c>
      <c r="B252" s="5" t="s">
        <v>1108</v>
      </c>
      <c r="C252" s="5">
        <v>617</v>
      </c>
      <c r="D252" s="5">
        <v>3298152</v>
      </c>
      <c r="E252" s="5">
        <v>30024553350</v>
      </c>
      <c r="F252" s="5">
        <v>8830</v>
      </c>
      <c r="G252" s="5">
        <v>8970</v>
      </c>
      <c r="H252" s="5">
        <v>9100</v>
      </c>
      <c r="I252" s="5">
        <v>3.06</v>
      </c>
      <c r="J252" s="5">
        <v>8790</v>
      </c>
      <c r="K252" s="5">
        <v>9420</v>
      </c>
    </row>
    <row r="253" spans="1:11" x14ac:dyDescent="0.3">
      <c r="A253" s="9" t="s">
        <v>414</v>
      </c>
      <c r="B253" s="5" t="s">
        <v>415</v>
      </c>
      <c r="C253" s="5">
        <v>4775</v>
      </c>
      <c r="D253" s="5">
        <v>70064951</v>
      </c>
      <c r="E253" s="5">
        <v>257625814139</v>
      </c>
      <c r="F253" s="5">
        <v>3771</v>
      </c>
      <c r="G253" s="5">
        <v>3790</v>
      </c>
      <c r="H253" s="5">
        <v>3677</v>
      </c>
      <c r="I253" s="5">
        <v>-2.4900000000000002</v>
      </c>
      <c r="J253" s="5">
        <v>3630</v>
      </c>
      <c r="K253" s="5">
        <v>3795</v>
      </c>
    </row>
    <row r="254" spans="1:11" x14ac:dyDescent="0.3">
      <c r="A254" s="9" t="s">
        <v>798</v>
      </c>
      <c r="B254" s="5" t="s">
        <v>799</v>
      </c>
      <c r="C254" s="5">
        <v>187</v>
      </c>
      <c r="D254" s="5">
        <v>295858</v>
      </c>
      <c r="E254" s="5">
        <v>16661266850</v>
      </c>
      <c r="F254" s="5">
        <v>56000</v>
      </c>
      <c r="G254" s="5">
        <v>56600</v>
      </c>
      <c r="H254" s="5">
        <v>56300</v>
      </c>
      <c r="I254" s="5">
        <v>0.54</v>
      </c>
      <c r="J254" s="5">
        <v>55850</v>
      </c>
      <c r="K254" s="5">
        <v>57200</v>
      </c>
    </row>
    <row r="255" spans="1:11" x14ac:dyDescent="0.3">
      <c r="A255" s="9" t="s">
        <v>1404</v>
      </c>
      <c r="B255" s="5" t="s">
        <v>1405</v>
      </c>
      <c r="C255" s="5">
        <v>590</v>
      </c>
      <c r="D255" s="5">
        <v>1037381</v>
      </c>
      <c r="E255" s="5">
        <v>34717158770</v>
      </c>
      <c r="F255" s="5">
        <v>33140</v>
      </c>
      <c r="G255" s="5">
        <v>34000</v>
      </c>
      <c r="H255" s="5">
        <v>33470</v>
      </c>
      <c r="I255" s="5">
        <v>1</v>
      </c>
      <c r="J255" s="5">
        <v>33200</v>
      </c>
      <c r="K255" s="5">
        <v>34400</v>
      </c>
    </row>
    <row r="256" spans="1:11" x14ac:dyDescent="0.3">
      <c r="A256" s="9" t="s">
        <v>911</v>
      </c>
      <c r="B256" s="5" t="s">
        <v>898</v>
      </c>
      <c r="C256" s="5">
        <v>527</v>
      </c>
      <c r="D256" s="5">
        <v>7403451</v>
      </c>
      <c r="E256" s="5">
        <v>47738613070</v>
      </c>
      <c r="F256" s="5">
        <v>6360</v>
      </c>
      <c r="G256" s="5">
        <v>6420</v>
      </c>
      <c r="H256" s="5">
        <v>6450</v>
      </c>
      <c r="I256" s="5">
        <v>1.42</v>
      </c>
      <c r="J256" s="5">
        <v>6210</v>
      </c>
      <c r="K256" s="5">
        <v>6570</v>
      </c>
    </row>
    <row r="257" spans="1:11" x14ac:dyDescent="0.3">
      <c r="A257" s="9" t="s">
        <v>239</v>
      </c>
      <c r="B257" s="5" t="s">
        <v>238</v>
      </c>
      <c r="C257" s="5">
        <v>382</v>
      </c>
      <c r="D257" s="5">
        <v>1643355</v>
      </c>
      <c r="E257" s="5">
        <v>53986207750</v>
      </c>
      <c r="F257" s="5">
        <v>31700</v>
      </c>
      <c r="G257" s="5">
        <v>33250</v>
      </c>
      <c r="H257" s="5">
        <v>32850</v>
      </c>
      <c r="I257" s="5">
        <v>3.63</v>
      </c>
      <c r="J257" s="5">
        <v>31800</v>
      </c>
      <c r="K257" s="5">
        <v>33250</v>
      </c>
    </row>
    <row r="258" spans="1:11" x14ac:dyDescent="0.3">
      <c r="A258" s="9" t="s">
        <v>1480</v>
      </c>
      <c r="B258" s="5" t="s">
        <v>1481</v>
      </c>
      <c r="C258" s="5">
        <v>925</v>
      </c>
      <c r="D258" s="5">
        <v>3106014</v>
      </c>
      <c r="E258" s="5">
        <v>42954574790</v>
      </c>
      <c r="F258" s="5">
        <v>13480</v>
      </c>
      <c r="G258" s="5">
        <v>13700</v>
      </c>
      <c r="H258" s="5">
        <v>13830</v>
      </c>
      <c r="I258" s="5">
        <v>2.6</v>
      </c>
      <c r="J258" s="5">
        <v>13410</v>
      </c>
      <c r="K258" s="5">
        <v>14190</v>
      </c>
    </row>
    <row r="259" spans="1:11" x14ac:dyDescent="0.3">
      <c r="A259" s="9" t="s">
        <v>768</v>
      </c>
      <c r="B259" s="5" t="s">
        <v>769</v>
      </c>
      <c r="C259" s="5">
        <v>354</v>
      </c>
      <c r="D259" s="5">
        <v>2622268</v>
      </c>
      <c r="E259" s="5">
        <v>37854292570</v>
      </c>
      <c r="F259" s="5">
        <v>14280</v>
      </c>
      <c r="G259" s="5">
        <v>14940</v>
      </c>
      <c r="H259" s="5">
        <v>14440</v>
      </c>
      <c r="I259" s="5">
        <v>1.1200000000000001</v>
      </c>
      <c r="J259" s="5">
        <v>14190</v>
      </c>
      <c r="K259" s="5">
        <v>14940</v>
      </c>
    </row>
    <row r="260" spans="1:11" x14ac:dyDescent="0.3">
      <c r="A260" s="9" t="s">
        <v>1013</v>
      </c>
      <c r="B260" s="5" t="s">
        <v>1014</v>
      </c>
      <c r="C260" s="5">
        <v>2850</v>
      </c>
      <c r="D260" s="5">
        <v>13967827</v>
      </c>
      <c r="E260" s="5">
        <v>156662375290</v>
      </c>
      <c r="F260" s="5">
        <v>11310</v>
      </c>
      <c r="G260" s="5">
        <v>11400</v>
      </c>
      <c r="H260" s="5">
        <v>11220</v>
      </c>
      <c r="I260" s="5">
        <v>-0.8</v>
      </c>
      <c r="J260" s="5">
        <v>11100</v>
      </c>
      <c r="K260" s="5">
        <v>11470</v>
      </c>
    </row>
    <row r="261" spans="1:11" x14ac:dyDescent="0.3">
      <c r="A261" s="9" t="s">
        <v>1572</v>
      </c>
      <c r="B261" s="5" t="s">
        <v>1573</v>
      </c>
      <c r="C261" s="5">
        <v>1547</v>
      </c>
      <c r="D261" s="5">
        <v>21784722</v>
      </c>
      <c r="E261" s="5">
        <v>114983312592</v>
      </c>
      <c r="F261" s="5">
        <v>5025</v>
      </c>
      <c r="G261" s="5">
        <v>5330</v>
      </c>
      <c r="H261" s="5">
        <v>5278</v>
      </c>
      <c r="I261" s="5">
        <v>5.03</v>
      </c>
      <c r="J261" s="5">
        <v>5050</v>
      </c>
      <c r="K261" s="5">
        <v>5376</v>
      </c>
    </row>
    <row r="262" spans="1:11" x14ac:dyDescent="0.3">
      <c r="A262" s="9" t="s">
        <v>163</v>
      </c>
      <c r="B262" s="5" t="s">
        <v>162</v>
      </c>
      <c r="C262" s="5">
        <v>1537</v>
      </c>
      <c r="D262" s="5">
        <v>34243160</v>
      </c>
      <c r="E262" s="5">
        <v>96407584614</v>
      </c>
      <c r="F262" s="5">
        <v>2728</v>
      </c>
      <c r="G262" s="5">
        <v>2858</v>
      </c>
      <c r="H262" s="5">
        <v>2815</v>
      </c>
      <c r="I262" s="5">
        <v>3.19</v>
      </c>
      <c r="J262" s="5">
        <v>2735</v>
      </c>
      <c r="K262" s="5">
        <v>2858</v>
      </c>
    </row>
    <row r="263" spans="1:11" x14ac:dyDescent="0.3">
      <c r="A263" s="9" t="s">
        <v>999</v>
      </c>
      <c r="B263" s="5" t="s">
        <v>1000</v>
      </c>
      <c r="C263" s="5">
        <v>59</v>
      </c>
      <c r="D263" s="5">
        <v>221494</v>
      </c>
      <c r="E263" s="5">
        <v>3760929730</v>
      </c>
      <c r="F263" s="5">
        <v>16520</v>
      </c>
      <c r="G263" s="5">
        <v>17010</v>
      </c>
      <c r="H263" s="5">
        <v>16600</v>
      </c>
      <c r="I263" s="5">
        <v>0.48</v>
      </c>
      <c r="J263" s="5">
        <v>16720</v>
      </c>
      <c r="K263" s="5">
        <v>17010</v>
      </c>
    </row>
    <row r="264" spans="1:11" x14ac:dyDescent="0.3">
      <c r="A264" s="9" t="s">
        <v>1191</v>
      </c>
      <c r="B264" s="5" t="s">
        <v>1192</v>
      </c>
      <c r="C264" s="5">
        <v>6205</v>
      </c>
      <c r="D264" s="5">
        <v>208085548</v>
      </c>
      <c r="E264" s="5">
        <v>426578702367</v>
      </c>
      <c r="F264" s="5">
        <v>2015</v>
      </c>
      <c r="G264" s="5">
        <v>2100</v>
      </c>
      <c r="H264" s="5">
        <v>2050</v>
      </c>
      <c r="I264" s="5">
        <v>1.74</v>
      </c>
      <c r="J264" s="5">
        <v>1990</v>
      </c>
      <c r="K264" s="5">
        <v>2100</v>
      </c>
    </row>
    <row r="265" spans="1:11" x14ac:dyDescent="0.3">
      <c r="A265" s="9" t="s">
        <v>857</v>
      </c>
      <c r="B265" s="5" t="s">
        <v>858</v>
      </c>
      <c r="C265" s="5">
        <v>395</v>
      </c>
      <c r="D265" s="5">
        <v>2984239</v>
      </c>
      <c r="E265" s="5">
        <v>40640443770</v>
      </c>
      <c r="F265" s="5">
        <v>13520</v>
      </c>
      <c r="G265" s="5">
        <v>14080</v>
      </c>
      <c r="H265" s="5">
        <v>13620</v>
      </c>
      <c r="I265" s="5">
        <v>0.74</v>
      </c>
      <c r="J265" s="5">
        <v>13100</v>
      </c>
      <c r="K265" s="5">
        <v>14080</v>
      </c>
    </row>
    <row r="266" spans="1:11" x14ac:dyDescent="0.3">
      <c r="A266" s="9" t="s">
        <v>866</v>
      </c>
      <c r="B266" s="5" t="s">
        <v>867</v>
      </c>
      <c r="C266" s="5">
        <v>4173</v>
      </c>
      <c r="D266" s="5">
        <v>89713222</v>
      </c>
      <c r="E266" s="5">
        <v>507020888230</v>
      </c>
      <c r="F266" s="5">
        <v>5430</v>
      </c>
      <c r="G266" s="5">
        <v>5640</v>
      </c>
      <c r="H266" s="5">
        <v>5650</v>
      </c>
      <c r="I266" s="5">
        <v>4.05</v>
      </c>
      <c r="J266" s="5">
        <v>5480</v>
      </c>
      <c r="K266" s="5">
        <v>5780</v>
      </c>
    </row>
    <row r="267" spans="1:11" x14ac:dyDescent="0.3">
      <c r="A267" s="9" t="s">
        <v>201</v>
      </c>
      <c r="B267" s="5" t="s">
        <v>200</v>
      </c>
      <c r="C267" s="5">
        <v>1194</v>
      </c>
      <c r="D267" s="5">
        <v>7159748</v>
      </c>
      <c r="E267" s="5">
        <v>186080726560</v>
      </c>
      <c r="F267" s="5">
        <v>24420</v>
      </c>
      <c r="G267" s="5">
        <v>25030</v>
      </c>
      <c r="H267" s="5">
        <v>25990</v>
      </c>
      <c r="I267" s="5">
        <v>6.43</v>
      </c>
      <c r="J267" s="5">
        <v>25030</v>
      </c>
      <c r="K267" s="5">
        <v>26120</v>
      </c>
    </row>
    <row r="268" spans="1:11" x14ac:dyDescent="0.3">
      <c r="A268" s="9" t="s">
        <v>1484</v>
      </c>
      <c r="B268" s="5" t="s">
        <v>1485</v>
      </c>
      <c r="C268" s="5">
        <v>584</v>
      </c>
      <c r="D268" s="5">
        <v>507959</v>
      </c>
      <c r="E268" s="5">
        <v>66165526420</v>
      </c>
      <c r="F268" s="5">
        <v>128430</v>
      </c>
      <c r="G268" s="5">
        <v>132990</v>
      </c>
      <c r="H268" s="5">
        <v>129730</v>
      </c>
      <c r="I268" s="5">
        <v>1.01</v>
      </c>
      <c r="J268" s="5">
        <v>128900</v>
      </c>
      <c r="K268" s="5">
        <v>133490</v>
      </c>
    </row>
    <row r="269" spans="1:11" x14ac:dyDescent="0.3">
      <c r="A269" s="9" t="s">
        <v>1352</v>
      </c>
      <c r="B269" s="5" t="s">
        <v>1353</v>
      </c>
      <c r="C269" s="5">
        <v>635</v>
      </c>
      <c r="D269" s="5">
        <v>8420787</v>
      </c>
      <c r="E269" s="5">
        <v>34882692375</v>
      </c>
      <c r="F269" s="5">
        <v>4144</v>
      </c>
      <c r="G269" s="5">
        <v>4200</v>
      </c>
      <c r="H269" s="5">
        <v>4142</v>
      </c>
      <c r="I269" s="5">
        <v>-0.05</v>
      </c>
      <c r="J269" s="5">
        <v>4023</v>
      </c>
      <c r="K269" s="5">
        <v>4246</v>
      </c>
    </row>
    <row r="270" spans="1:11" x14ac:dyDescent="0.3">
      <c r="A270" s="9" t="s">
        <v>1160</v>
      </c>
      <c r="B270" s="5" t="s">
        <v>1161</v>
      </c>
      <c r="C270" s="5">
        <v>13295</v>
      </c>
      <c r="D270" s="5">
        <v>264577387</v>
      </c>
      <c r="E270" s="5">
        <v>1427647381600</v>
      </c>
      <c r="F270" s="5">
        <v>5540</v>
      </c>
      <c r="G270" s="5">
        <v>5500</v>
      </c>
      <c r="H270" s="5">
        <v>5400</v>
      </c>
      <c r="I270" s="5">
        <v>-2.5299999999999998</v>
      </c>
      <c r="J270" s="5">
        <v>5290</v>
      </c>
      <c r="K270" s="5">
        <v>5600</v>
      </c>
    </row>
    <row r="271" spans="1:11" x14ac:dyDescent="0.3">
      <c r="A271" s="9" t="s">
        <v>1904</v>
      </c>
      <c r="B271" s="5" t="s">
        <v>1905</v>
      </c>
      <c r="C271" s="5">
        <v>176</v>
      </c>
      <c r="D271" s="5">
        <v>6569227</v>
      </c>
      <c r="E271" s="5">
        <v>26927261473</v>
      </c>
      <c r="F271" s="5">
        <v>3831</v>
      </c>
      <c r="G271" s="5">
        <v>4099</v>
      </c>
      <c r="H271" s="5">
        <v>4099</v>
      </c>
      <c r="I271" s="5">
        <v>7</v>
      </c>
      <c r="J271" s="5">
        <v>4099</v>
      </c>
      <c r="K271" s="5">
        <v>4099</v>
      </c>
    </row>
    <row r="272" spans="1:11" x14ac:dyDescent="0.3">
      <c r="A272" s="9" t="s">
        <v>1805</v>
      </c>
      <c r="B272" s="5" t="s">
        <v>1806</v>
      </c>
      <c r="C272" s="5">
        <v>163</v>
      </c>
      <c r="D272" s="5">
        <v>1537449</v>
      </c>
      <c r="E272" s="5">
        <v>16143214500</v>
      </c>
      <c r="F272" s="5">
        <v>10000</v>
      </c>
      <c r="G272" s="5">
        <v>10500</v>
      </c>
      <c r="H272" s="5">
        <v>10500</v>
      </c>
      <c r="I272" s="5">
        <v>5</v>
      </c>
      <c r="J272" s="5">
        <v>10500</v>
      </c>
      <c r="K272" s="5">
        <v>10500</v>
      </c>
    </row>
    <row r="273" spans="1:11" x14ac:dyDescent="0.3">
      <c r="A273" s="9" t="s">
        <v>640</v>
      </c>
      <c r="B273" s="5" t="s">
        <v>641</v>
      </c>
      <c r="C273" s="5">
        <v>1471</v>
      </c>
      <c r="D273" s="5">
        <v>52120169</v>
      </c>
      <c r="E273" s="5">
        <v>116090744742</v>
      </c>
      <c r="F273" s="5">
        <v>2213</v>
      </c>
      <c r="G273" s="5">
        <v>2268</v>
      </c>
      <c r="H273" s="5">
        <v>2227</v>
      </c>
      <c r="I273" s="5">
        <v>0.63</v>
      </c>
      <c r="J273" s="5">
        <v>2180</v>
      </c>
      <c r="K273" s="5">
        <v>2268</v>
      </c>
    </row>
    <row r="274" spans="1:11" x14ac:dyDescent="0.3">
      <c r="A274" s="9" t="s">
        <v>442</v>
      </c>
      <c r="B274" s="5" t="s">
        <v>443</v>
      </c>
      <c r="C274" s="5">
        <v>521</v>
      </c>
      <c r="D274" s="5">
        <v>1918215</v>
      </c>
      <c r="E274" s="5">
        <v>46281981350</v>
      </c>
      <c r="F274" s="5">
        <v>23900</v>
      </c>
      <c r="G274" s="5">
        <v>24050</v>
      </c>
      <c r="H274" s="5">
        <v>24150</v>
      </c>
      <c r="I274" s="5">
        <v>1.05</v>
      </c>
      <c r="J274" s="5">
        <v>23750</v>
      </c>
      <c r="K274" s="5">
        <v>24350</v>
      </c>
    </row>
    <row r="275" spans="1:11" x14ac:dyDescent="0.3">
      <c r="A275" s="9" t="s">
        <v>1526</v>
      </c>
      <c r="B275" s="5" t="s">
        <v>1527</v>
      </c>
      <c r="C275" s="5">
        <v>751</v>
      </c>
      <c r="D275" s="5">
        <v>3896640</v>
      </c>
      <c r="E275" s="5">
        <v>47266529240</v>
      </c>
      <c r="F275" s="5">
        <v>11860</v>
      </c>
      <c r="G275" s="5">
        <v>12130</v>
      </c>
      <c r="H275" s="5">
        <v>12130</v>
      </c>
      <c r="I275" s="5">
        <v>2.2799999999999998</v>
      </c>
      <c r="J275" s="5">
        <v>11930</v>
      </c>
      <c r="K275" s="5">
        <v>12490</v>
      </c>
    </row>
    <row r="276" spans="1:11" x14ac:dyDescent="0.3">
      <c r="A276" s="9" t="s">
        <v>1534</v>
      </c>
      <c r="B276" s="5" t="s">
        <v>1535</v>
      </c>
      <c r="C276" s="5">
        <v>1585</v>
      </c>
      <c r="D276" s="5">
        <v>24924586</v>
      </c>
      <c r="E276" s="5">
        <v>485143012020</v>
      </c>
      <c r="F276" s="5">
        <v>19020</v>
      </c>
      <c r="G276" s="5">
        <v>18900</v>
      </c>
      <c r="H276" s="5">
        <v>19460</v>
      </c>
      <c r="I276" s="5">
        <v>2.31</v>
      </c>
      <c r="J276" s="5">
        <v>18510</v>
      </c>
      <c r="K276" s="5">
        <v>19590</v>
      </c>
    </row>
    <row r="277" spans="1:11" x14ac:dyDescent="0.3">
      <c r="A277" s="9" t="s">
        <v>1241</v>
      </c>
      <c r="B277" s="5" t="s">
        <v>1242</v>
      </c>
      <c r="C277" s="5">
        <v>273</v>
      </c>
      <c r="D277" s="5">
        <v>15551012</v>
      </c>
      <c r="E277" s="5">
        <v>63043802648</v>
      </c>
      <c r="F277" s="5">
        <v>3936</v>
      </c>
      <c r="G277" s="5">
        <v>4054</v>
      </c>
      <c r="H277" s="5">
        <v>4054</v>
      </c>
      <c r="I277" s="5">
        <v>3</v>
      </c>
      <c r="J277" s="5">
        <v>4054</v>
      </c>
      <c r="K277" s="5">
        <v>4054</v>
      </c>
    </row>
    <row r="278" spans="1:11" x14ac:dyDescent="0.3">
      <c r="A278" s="9" t="s">
        <v>310</v>
      </c>
      <c r="B278" s="5" t="s">
        <v>309</v>
      </c>
      <c r="C278" s="5">
        <v>821</v>
      </c>
      <c r="D278" s="5">
        <v>1603239</v>
      </c>
      <c r="E278" s="5">
        <v>52560289500</v>
      </c>
      <c r="F278" s="5">
        <v>31550</v>
      </c>
      <c r="G278" s="5">
        <v>33120</v>
      </c>
      <c r="H278" s="5">
        <v>32780</v>
      </c>
      <c r="I278" s="5">
        <v>3.9</v>
      </c>
      <c r="J278" s="5">
        <v>31680</v>
      </c>
      <c r="K278" s="5">
        <v>33120</v>
      </c>
    </row>
    <row r="279" spans="1:11" x14ac:dyDescent="0.3">
      <c r="A279" s="9" t="s">
        <v>127</v>
      </c>
      <c r="B279" s="5" t="s">
        <v>126</v>
      </c>
      <c r="C279" s="5">
        <v>87</v>
      </c>
      <c r="D279" s="5">
        <v>393413</v>
      </c>
      <c r="E279" s="5">
        <v>12377404350</v>
      </c>
      <c r="F279" s="5">
        <v>32350</v>
      </c>
      <c r="G279" s="5">
        <v>31400</v>
      </c>
      <c r="H279" s="5">
        <v>31800</v>
      </c>
      <c r="I279" s="5">
        <v>-1.7</v>
      </c>
      <c r="J279" s="5">
        <v>31400</v>
      </c>
      <c r="K279" s="5">
        <v>32900</v>
      </c>
    </row>
    <row r="280" spans="1:11" x14ac:dyDescent="0.3">
      <c r="A280" s="9" t="s">
        <v>1046</v>
      </c>
      <c r="B280" s="5" t="s">
        <v>1047</v>
      </c>
      <c r="C280" s="5">
        <v>3231</v>
      </c>
      <c r="D280" s="5">
        <v>37456831</v>
      </c>
      <c r="E280" s="5">
        <v>250255102050</v>
      </c>
      <c r="F280" s="5">
        <v>6740</v>
      </c>
      <c r="G280" s="5">
        <v>6850</v>
      </c>
      <c r="H280" s="5">
        <v>6680</v>
      </c>
      <c r="I280" s="5">
        <v>-0.89</v>
      </c>
      <c r="J280" s="5">
        <v>6470</v>
      </c>
      <c r="K280" s="5">
        <v>6880</v>
      </c>
    </row>
    <row r="281" spans="1:11" x14ac:dyDescent="0.3">
      <c r="A281" s="9" t="s">
        <v>358</v>
      </c>
      <c r="B281" s="5" t="s">
        <v>357</v>
      </c>
      <c r="C281" s="5">
        <v>357</v>
      </c>
      <c r="D281" s="5">
        <v>6257357</v>
      </c>
      <c r="E281" s="5">
        <v>26403612124</v>
      </c>
      <c r="F281" s="5">
        <v>4183</v>
      </c>
      <c r="G281" s="5">
        <v>4192</v>
      </c>
      <c r="H281" s="5">
        <v>4220</v>
      </c>
      <c r="I281" s="5">
        <v>0.88</v>
      </c>
      <c r="J281" s="5">
        <v>4051</v>
      </c>
      <c r="K281" s="5">
        <v>4340</v>
      </c>
    </row>
    <row r="282" spans="1:11" x14ac:dyDescent="0.3">
      <c r="A282" s="9" t="s">
        <v>291</v>
      </c>
      <c r="B282" s="5" t="s">
        <v>290</v>
      </c>
      <c r="C282" s="5">
        <v>3266</v>
      </c>
      <c r="D282" s="5">
        <v>84629382</v>
      </c>
      <c r="E282" s="5">
        <v>248779487336</v>
      </c>
      <c r="F282" s="5">
        <v>2856</v>
      </c>
      <c r="G282" s="5">
        <v>2891</v>
      </c>
      <c r="H282" s="5">
        <v>2940</v>
      </c>
      <c r="I282" s="5">
        <v>2.94</v>
      </c>
      <c r="J282" s="5">
        <v>2800</v>
      </c>
      <c r="K282" s="5">
        <v>2998</v>
      </c>
    </row>
    <row r="283" spans="1:11" x14ac:dyDescent="0.3">
      <c r="A283" s="9" t="s">
        <v>855</v>
      </c>
      <c r="B283" s="5" t="s">
        <v>856</v>
      </c>
      <c r="C283" s="5">
        <v>793</v>
      </c>
      <c r="D283" s="5">
        <v>14508842</v>
      </c>
      <c r="E283" s="5">
        <v>121540809570</v>
      </c>
      <c r="F283" s="5">
        <v>8050</v>
      </c>
      <c r="G283" s="5">
        <v>8440</v>
      </c>
      <c r="H283" s="5">
        <v>8380</v>
      </c>
      <c r="I283" s="5">
        <v>4.0999999999999996</v>
      </c>
      <c r="J283" s="5">
        <v>8150</v>
      </c>
      <c r="K283" s="5">
        <v>8450</v>
      </c>
    </row>
    <row r="284" spans="1:11" x14ac:dyDescent="0.3">
      <c r="A284" s="9" t="s">
        <v>819</v>
      </c>
      <c r="B284" s="5" t="s">
        <v>820</v>
      </c>
      <c r="C284" s="5">
        <v>1968</v>
      </c>
      <c r="D284" s="5">
        <v>11136172</v>
      </c>
      <c r="E284" s="5">
        <v>160177907720</v>
      </c>
      <c r="F284" s="5">
        <v>14260</v>
      </c>
      <c r="G284" s="5">
        <v>14600</v>
      </c>
      <c r="H284" s="5">
        <v>14380</v>
      </c>
      <c r="I284" s="5">
        <v>0.84</v>
      </c>
      <c r="J284" s="5">
        <v>14000</v>
      </c>
      <c r="K284" s="5">
        <v>14630</v>
      </c>
    </row>
    <row r="285" spans="1:11" x14ac:dyDescent="0.3">
      <c r="A285" s="9" t="s">
        <v>1197</v>
      </c>
      <c r="B285" s="5" t="s">
        <v>1198</v>
      </c>
      <c r="C285" s="5">
        <v>16164</v>
      </c>
      <c r="D285" s="5">
        <v>510381999</v>
      </c>
      <c r="E285" s="5">
        <v>1723258326450</v>
      </c>
      <c r="F285" s="5">
        <v>3311</v>
      </c>
      <c r="G285" s="5">
        <v>3400</v>
      </c>
      <c r="H285" s="5">
        <v>3376</v>
      </c>
      <c r="I285" s="5">
        <v>1.96</v>
      </c>
      <c r="J285" s="5">
        <v>3300</v>
      </c>
      <c r="K285" s="5">
        <v>3441</v>
      </c>
    </row>
    <row r="286" spans="1:11" x14ac:dyDescent="0.3">
      <c r="A286" s="9" t="s">
        <v>260</v>
      </c>
      <c r="B286" s="5" t="s">
        <v>259</v>
      </c>
      <c r="C286" s="5">
        <v>755</v>
      </c>
      <c r="D286" s="5">
        <v>24113928</v>
      </c>
      <c r="E286" s="5">
        <v>185834908770</v>
      </c>
      <c r="F286" s="5">
        <v>7490</v>
      </c>
      <c r="G286" s="5">
        <v>7610</v>
      </c>
      <c r="H286" s="5">
        <v>7710</v>
      </c>
      <c r="I286" s="5">
        <v>2.94</v>
      </c>
      <c r="J286" s="5">
        <v>7530</v>
      </c>
      <c r="K286" s="5">
        <v>7710</v>
      </c>
    </row>
    <row r="287" spans="1:11" x14ac:dyDescent="0.3">
      <c r="A287" s="9" t="s">
        <v>1607</v>
      </c>
      <c r="B287" s="5" t="s">
        <v>1608</v>
      </c>
      <c r="C287" s="5">
        <v>798</v>
      </c>
      <c r="D287" s="5">
        <v>3259276</v>
      </c>
      <c r="E287" s="5">
        <v>62341388040</v>
      </c>
      <c r="F287" s="5">
        <v>19400</v>
      </c>
      <c r="G287" s="5">
        <v>19690</v>
      </c>
      <c r="H287" s="5">
        <v>19130</v>
      </c>
      <c r="I287" s="5">
        <v>-1.39</v>
      </c>
      <c r="J287" s="5">
        <v>18900</v>
      </c>
      <c r="K287" s="5">
        <v>19700</v>
      </c>
    </row>
    <row r="288" spans="1:11" x14ac:dyDescent="0.3">
      <c r="A288" s="9" t="s">
        <v>577</v>
      </c>
      <c r="B288" s="5" t="s">
        <v>578</v>
      </c>
      <c r="C288" s="5">
        <v>123</v>
      </c>
      <c r="D288" s="5">
        <v>216748</v>
      </c>
      <c r="E288" s="5">
        <v>4030496440</v>
      </c>
      <c r="F288" s="5">
        <v>18340</v>
      </c>
      <c r="G288" s="5">
        <v>18640</v>
      </c>
      <c r="H288" s="5">
        <v>18400</v>
      </c>
      <c r="I288" s="5">
        <v>0.33</v>
      </c>
      <c r="J288" s="5">
        <v>18000</v>
      </c>
      <c r="K288" s="5">
        <v>18970</v>
      </c>
    </row>
    <row r="289" spans="1:11" x14ac:dyDescent="0.3">
      <c r="A289" s="9" t="s">
        <v>74</v>
      </c>
      <c r="B289" s="5" t="s">
        <v>73</v>
      </c>
      <c r="C289" s="5">
        <v>59</v>
      </c>
      <c r="D289" s="5">
        <v>14289093</v>
      </c>
      <c r="E289" s="5">
        <v>143719060994</v>
      </c>
      <c r="F289" s="5">
        <v>10030</v>
      </c>
      <c r="G289" s="5">
        <v>10057</v>
      </c>
      <c r="H289" s="5">
        <v>10058</v>
      </c>
      <c r="I289" s="5">
        <v>0.28000000000000003</v>
      </c>
      <c r="J289" s="5">
        <v>10036</v>
      </c>
      <c r="K289" s="5">
        <v>10058</v>
      </c>
    </row>
    <row r="290" spans="1:11" x14ac:dyDescent="0.3">
      <c r="A290" s="9" t="s">
        <v>70</v>
      </c>
      <c r="B290" s="5" t="s">
        <v>69</v>
      </c>
      <c r="C290" s="5">
        <v>22889</v>
      </c>
      <c r="D290" s="5">
        <v>27431383</v>
      </c>
      <c r="E290" s="5">
        <v>4887695251170</v>
      </c>
      <c r="F290" s="5">
        <v>171470</v>
      </c>
      <c r="G290" s="5">
        <v>180000</v>
      </c>
      <c r="H290" s="5">
        <v>178180</v>
      </c>
      <c r="I290" s="5">
        <v>3.91</v>
      </c>
      <c r="J290" s="5">
        <v>173560</v>
      </c>
      <c r="K290" s="5">
        <v>181810</v>
      </c>
    </row>
    <row r="291" spans="1:11" x14ac:dyDescent="0.3">
      <c r="A291" s="9" t="s">
        <v>514</v>
      </c>
      <c r="B291" s="5" t="s">
        <v>515</v>
      </c>
      <c r="C291" s="5">
        <v>93</v>
      </c>
      <c r="D291" s="5">
        <v>2763505</v>
      </c>
      <c r="E291" s="5">
        <v>2835356130</v>
      </c>
      <c r="F291" s="5">
        <v>997</v>
      </c>
      <c r="G291" s="5">
        <v>1026</v>
      </c>
      <c r="H291" s="5">
        <v>1001</v>
      </c>
      <c r="I291" s="5">
        <v>0.4</v>
      </c>
      <c r="J291" s="5">
        <v>1026</v>
      </c>
      <c r="K291" s="5">
        <v>1026</v>
      </c>
    </row>
    <row r="292" spans="1:11" x14ac:dyDescent="0.3">
      <c r="A292" s="9" t="s">
        <v>1388</v>
      </c>
      <c r="B292" s="5" t="s">
        <v>1389</v>
      </c>
      <c r="C292" s="5">
        <v>320</v>
      </c>
      <c r="D292" s="5">
        <v>721843</v>
      </c>
      <c r="E292" s="5">
        <v>18062209600</v>
      </c>
      <c r="F292" s="5">
        <v>23990</v>
      </c>
      <c r="G292" s="5">
        <v>25180</v>
      </c>
      <c r="H292" s="5">
        <v>24710</v>
      </c>
      <c r="I292" s="5">
        <v>3</v>
      </c>
      <c r="J292" s="5">
        <v>24280</v>
      </c>
      <c r="K292" s="5">
        <v>25180</v>
      </c>
    </row>
    <row r="293" spans="1:11" x14ac:dyDescent="0.3">
      <c r="A293" s="9" t="s">
        <v>23</v>
      </c>
      <c r="B293" s="5" t="s">
        <v>22</v>
      </c>
      <c r="C293" s="5">
        <v>807</v>
      </c>
      <c r="D293" s="5">
        <v>12559123</v>
      </c>
      <c r="E293" s="5">
        <v>191727737389</v>
      </c>
      <c r="F293" s="5">
        <v>15237</v>
      </c>
      <c r="G293" s="5">
        <v>15258</v>
      </c>
      <c r="H293" s="5">
        <v>15266</v>
      </c>
      <c r="I293" s="5">
        <v>0.19</v>
      </c>
      <c r="J293" s="5">
        <v>15257</v>
      </c>
      <c r="K293" s="5">
        <v>15285</v>
      </c>
    </row>
    <row r="294" spans="1:11" x14ac:dyDescent="0.3">
      <c r="A294" s="9" t="s">
        <v>89</v>
      </c>
      <c r="B294" s="5" t="s">
        <v>88</v>
      </c>
      <c r="C294" s="5">
        <v>36</v>
      </c>
      <c r="D294" s="5">
        <v>220606</v>
      </c>
      <c r="E294" s="5">
        <v>3303522550</v>
      </c>
      <c r="F294" s="5">
        <v>14554</v>
      </c>
      <c r="G294" s="5">
        <v>15000</v>
      </c>
      <c r="H294" s="5">
        <v>14975</v>
      </c>
      <c r="I294" s="5">
        <v>2.89</v>
      </c>
      <c r="J294" s="5">
        <v>14800</v>
      </c>
      <c r="K294" s="5">
        <v>15200</v>
      </c>
    </row>
    <row r="295" spans="1:11" x14ac:dyDescent="0.3">
      <c r="A295" s="9" t="s">
        <v>1019</v>
      </c>
      <c r="B295" s="5" t="s">
        <v>1020</v>
      </c>
      <c r="C295" s="5">
        <v>335</v>
      </c>
      <c r="D295" s="5">
        <v>1618852</v>
      </c>
      <c r="E295" s="5">
        <v>13785594530</v>
      </c>
      <c r="F295" s="5">
        <v>8350</v>
      </c>
      <c r="G295" s="5">
        <v>8500</v>
      </c>
      <c r="H295" s="5">
        <v>8450</v>
      </c>
      <c r="I295" s="5">
        <v>1.2</v>
      </c>
      <c r="J295" s="5">
        <v>8390</v>
      </c>
      <c r="K295" s="5">
        <v>8860</v>
      </c>
    </row>
    <row r="296" spans="1:11" x14ac:dyDescent="0.3">
      <c r="A296" s="9" t="s">
        <v>742</v>
      </c>
      <c r="B296" s="5" t="s">
        <v>743</v>
      </c>
      <c r="C296" s="5">
        <v>1141</v>
      </c>
      <c r="D296" s="5">
        <v>25606527</v>
      </c>
      <c r="E296" s="5">
        <v>105734257946</v>
      </c>
      <c r="F296" s="5">
        <v>3880</v>
      </c>
      <c r="G296" s="5">
        <v>4130</v>
      </c>
      <c r="H296" s="5">
        <v>4129</v>
      </c>
      <c r="I296" s="5">
        <v>6.42</v>
      </c>
      <c r="J296" s="5">
        <v>4000</v>
      </c>
      <c r="K296" s="5">
        <v>4151</v>
      </c>
    </row>
    <row r="297" spans="1:11" x14ac:dyDescent="0.3">
      <c r="A297" s="9" t="s">
        <v>754</v>
      </c>
      <c r="B297" s="5" t="s">
        <v>755</v>
      </c>
      <c r="C297" s="5">
        <v>2615</v>
      </c>
      <c r="D297" s="5">
        <v>67153063</v>
      </c>
      <c r="E297" s="5">
        <v>201752585022</v>
      </c>
      <c r="F297" s="5">
        <v>2974</v>
      </c>
      <c r="G297" s="5">
        <v>3021</v>
      </c>
      <c r="H297" s="5">
        <v>3004</v>
      </c>
      <c r="I297" s="5">
        <v>1.01</v>
      </c>
      <c r="J297" s="5">
        <v>2950</v>
      </c>
      <c r="K297" s="5">
        <v>3060</v>
      </c>
    </row>
    <row r="298" spans="1:11" x14ac:dyDescent="0.3">
      <c r="A298" s="9" t="s">
        <v>1093</v>
      </c>
      <c r="B298" s="5" t="s">
        <v>1094</v>
      </c>
      <c r="C298" s="5">
        <v>785</v>
      </c>
      <c r="D298" s="5">
        <v>9120034</v>
      </c>
      <c r="E298" s="5">
        <v>94285259360</v>
      </c>
      <c r="F298" s="5">
        <v>9780</v>
      </c>
      <c r="G298" s="5">
        <v>9980</v>
      </c>
      <c r="H298" s="5">
        <v>10340</v>
      </c>
      <c r="I298" s="5">
        <v>5.73</v>
      </c>
      <c r="J298" s="5">
        <v>9660</v>
      </c>
      <c r="K298" s="5">
        <v>10460</v>
      </c>
    </row>
    <row r="299" spans="1:11" x14ac:dyDescent="0.3">
      <c r="A299" s="9" t="s">
        <v>1681</v>
      </c>
      <c r="B299" s="5" t="s">
        <v>1682</v>
      </c>
      <c r="C299" s="5">
        <v>773</v>
      </c>
      <c r="D299" s="5">
        <v>4867398</v>
      </c>
      <c r="E299" s="5">
        <v>45566387560</v>
      </c>
      <c r="F299" s="5">
        <v>9130</v>
      </c>
      <c r="G299" s="5">
        <v>9630</v>
      </c>
      <c r="H299" s="5">
        <v>9360</v>
      </c>
      <c r="I299" s="5">
        <v>2.52</v>
      </c>
      <c r="J299" s="5">
        <v>9160</v>
      </c>
      <c r="K299" s="5">
        <v>9630</v>
      </c>
    </row>
    <row r="300" spans="1:11" x14ac:dyDescent="0.3">
      <c r="A300" s="9" t="s">
        <v>680</v>
      </c>
      <c r="B300" s="5" t="s">
        <v>681</v>
      </c>
      <c r="C300" s="5">
        <v>176</v>
      </c>
      <c r="D300" s="5">
        <v>666569</v>
      </c>
      <c r="E300" s="5">
        <v>32602739110</v>
      </c>
      <c r="F300" s="5">
        <v>46750</v>
      </c>
      <c r="G300" s="5">
        <v>46750</v>
      </c>
      <c r="H300" s="5">
        <v>48910</v>
      </c>
      <c r="I300" s="5">
        <v>4.62</v>
      </c>
      <c r="J300" s="5">
        <v>46750</v>
      </c>
      <c r="K300" s="5">
        <v>49080</v>
      </c>
    </row>
    <row r="301" spans="1:11" x14ac:dyDescent="0.3">
      <c r="A301" s="9" t="s">
        <v>195</v>
      </c>
      <c r="B301" s="5" t="s">
        <v>194</v>
      </c>
      <c r="C301" s="5">
        <v>388</v>
      </c>
      <c r="D301" s="5">
        <v>706690</v>
      </c>
      <c r="E301" s="5">
        <v>29431945530</v>
      </c>
      <c r="F301" s="5">
        <v>40010</v>
      </c>
      <c r="G301" s="5">
        <v>40500</v>
      </c>
      <c r="H301" s="5">
        <v>41650</v>
      </c>
      <c r="I301" s="5">
        <v>4.0999999999999996</v>
      </c>
      <c r="J301" s="5">
        <v>39870</v>
      </c>
      <c r="K301" s="5">
        <v>42710</v>
      </c>
    </row>
    <row r="302" spans="1:11" x14ac:dyDescent="0.3">
      <c r="A302" s="9" t="s">
        <v>560</v>
      </c>
      <c r="B302" s="5" t="s">
        <v>561</v>
      </c>
      <c r="C302" s="5">
        <v>390</v>
      </c>
      <c r="D302" s="5">
        <v>1339425</v>
      </c>
      <c r="E302" s="5">
        <v>43995152200</v>
      </c>
      <c r="F302" s="5">
        <v>32650</v>
      </c>
      <c r="G302" s="5">
        <v>32500</v>
      </c>
      <c r="H302" s="5">
        <v>32850</v>
      </c>
      <c r="I302" s="5">
        <v>0.61</v>
      </c>
      <c r="J302" s="5">
        <v>32400</v>
      </c>
      <c r="K302" s="5">
        <v>33950</v>
      </c>
    </row>
    <row r="303" spans="1:11" x14ac:dyDescent="0.3">
      <c r="A303" s="9" t="s">
        <v>283</v>
      </c>
      <c r="B303" s="5" t="s">
        <v>282</v>
      </c>
      <c r="C303" s="5">
        <v>1404</v>
      </c>
      <c r="D303" s="5">
        <v>12965427</v>
      </c>
      <c r="E303" s="5">
        <v>138277807380</v>
      </c>
      <c r="F303" s="5">
        <v>10020</v>
      </c>
      <c r="G303" s="5">
        <v>10600</v>
      </c>
      <c r="H303" s="5">
        <v>10670</v>
      </c>
      <c r="I303" s="5">
        <v>6.49</v>
      </c>
      <c r="J303" s="5">
        <v>10300</v>
      </c>
      <c r="K303" s="5">
        <v>10720</v>
      </c>
    </row>
    <row r="304" spans="1:11" x14ac:dyDescent="0.3">
      <c r="A304" s="9" t="s">
        <v>205</v>
      </c>
      <c r="B304" s="5" t="s">
        <v>204</v>
      </c>
      <c r="C304" s="5">
        <v>770</v>
      </c>
      <c r="D304" s="5">
        <v>2737173</v>
      </c>
      <c r="E304" s="5">
        <v>40338373960</v>
      </c>
      <c r="F304" s="5">
        <v>15160</v>
      </c>
      <c r="G304" s="5">
        <v>15160</v>
      </c>
      <c r="H304" s="5">
        <v>14740</v>
      </c>
      <c r="I304" s="5">
        <v>-2.77</v>
      </c>
      <c r="J304" s="5">
        <v>14540</v>
      </c>
      <c r="K304" s="5">
        <v>15200</v>
      </c>
    </row>
    <row r="305" spans="1:11" x14ac:dyDescent="0.3">
      <c r="A305" s="9" t="s">
        <v>909</v>
      </c>
      <c r="B305" s="5" t="s">
        <v>910</v>
      </c>
      <c r="C305" s="5">
        <v>681</v>
      </c>
      <c r="D305" s="5">
        <v>3097086</v>
      </c>
      <c r="E305" s="5">
        <v>37124302840</v>
      </c>
      <c r="F305" s="5">
        <v>12100</v>
      </c>
      <c r="G305" s="5">
        <v>12390</v>
      </c>
      <c r="H305" s="5">
        <v>11990</v>
      </c>
      <c r="I305" s="5">
        <v>-0.91</v>
      </c>
      <c r="J305" s="5">
        <v>11800</v>
      </c>
      <c r="K305" s="5">
        <v>12390</v>
      </c>
    </row>
    <row r="306" spans="1:11" x14ac:dyDescent="0.3">
      <c r="A306" s="9" t="s">
        <v>37</v>
      </c>
      <c r="B306" s="5" t="s">
        <v>36</v>
      </c>
      <c r="C306" s="5">
        <v>2094</v>
      </c>
      <c r="D306" s="5">
        <v>1948749</v>
      </c>
      <c r="E306" s="5">
        <v>70273574450</v>
      </c>
      <c r="F306" s="5">
        <v>36900</v>
      </c>
      <c r="G306" s="5">
        <v>36900</v>
      </c>
      <c r="H306" s="5">
        <v>36050</v>
      </c>
      <c r="I306" s="5">
        <v>-2.2999999999999998</v>
      </c>
      <c r="J306" s="5">
        <v>35650</v>
      </c>
      <c r="K306" s="5">
        <v>37150</v>
      </c>
    </row>
    <row r="307" spans="1:11" x14ac:dyDescent="0.3">
      <c r="A307" s="9" t="s">
        <v>406</v>
      </c>
      <c r="B307" s="5" t="s">
        <v>407</v>
      </c>
      <c r="C307" s="5">
        <v>653</v>
      </c>
      <c r="D307" s="5">
        <v>3273484</v>
      </c>
      <c r="E307" s="5">
        <v>50217225180</v>
      </c>
      <c r="F307" s="5">
        <v>15040</v>
      </c>
      <c r="G307" s="5">
        <v>15190</v>
      </c>
      <c r="H307" s="5">
        <v>15340</v>
      </c>
      <c r="I307" s="5">
        <v>1.99</v>
      </c>
      <c r="J307" s="5">
        <v>14840</v>
      </c>
      <c r="K307" s="5">
        <v>15690</v>
      </c>
    </row>
    <row r="308" spans="1:11" x14ac:dyDescent="0.3">
      <c r="A308" s="9" t="s">
        <v>505</v>
      </c>
      <c r="B308" s="5" t="s">
        <v>506</v>
      </c>
      <c r="C308" s="5">
        <v>458</v>
      </c>
      <c r="D308" s="5">
        <v>1730163</v>
      </c>
      <c r="E308" s="5">
        <v>39525338050</v>
      </c>
      <c r="F308" s="5">
        <v>22150</v>
      </c>
      <c r="G308" s="5">
        <v>22300</v>
      </c>
      <c r="H308" s="5">
        <v>22850</v>
      </c>
      <c r="I308" s="5">
        <v>3.16</v>
      </c>
      <c r="J308" s="5">
        <v>21850</v>
      </c>
      <c r="K308" s="5">
        <v>23600</v>
      </c>
    </row>
    <row r="309" spans="1:11" x14ac:dyDescent="0.3">
      <c r="A309" s="9" t="s">
        <v>1638</v>
      </c>
      <c r="B309" s="5" t="s">
        <v>196</v>
      </c>
      <c r="C309" s="5">
        <v>5</v>
      </c>
      <c r="D309" s="5">
        <v>3900000</v>
      </c>
      <c r="E309" s="5">
        <v>3900000</v>
      </c>
      <c r="F309" s="5">
        <v>13360</v>
      </c>
      <c r="G309" s="5">
        <v>1</v>
      </c>
      <c r="H309" s="5">
        <v>1</v>
      </c>
      <c r="I309" s="5">
        <v>-99.99</v>
      </c>
      <c r="J309" s="5">
        <v>1</v>
      </c>
      <c r="K309" s="5">
        <v>1</v>
      </c>
    </row>
    <row r="310" spans="1:11" x14ac:dyDescent="0.3">
      <c r="A310" s="9" t="s">
        <v>327</v>
      </c>
      <c r="B310" s="5" t="s">
        <v>326</v>
      </c>
      <c r="C310" s="5">
        <v>558</v>
      </c>
      <c r="D310" s="5">
        <v>1218485</v>
      </c>
      <c r="E310" s="5">
        <v>85543687600</v>
      </c>
      <c r="F310" s="5">
        <v>68400</v>
      </c>
      <c r="G310" s="5">
        <v>69000</v>
      </c>
      <c r="H310" s="5">
        <v>70200</v>
      </c>
      <c r="I310" s="5">
        <v>2.63</v>
      </c>
      <c r="J310" s="5">
        <v>68100</v>
      </c>
      <c r="K310" s="5">
        <v>71900</v>
      </c>
    </row>
    <row r="311" spans="1:11" x14ac:dyDescent="0.3">
      <c r="A311" s="9" t="s">
        <v>913</v>
      </c>
      <c r="B311" s="5" t="s">
        <v>914</v>
      </c>
      <c r="C311" s="5">
        <v>467</v>
      </c>
      <c r="D311" s="5">
        <v>901068</v>
      </c>
      <c r="E311" s="5">
        <v>18593122370</v>
      </c>
      <c r="F311" s="5">
        <v>21090</v>
      </c>
      <c r="G311" s="5">
        <v>21100</v>
      </c>
      <c r="H311" s="5">
        <v>20630</v>
      </c>
      <c r="I311" s="5">
        <v>-2.1800000000000002</v>
      </c>
      <c r="J311" s="5">
        <v>20300</v>
      </c>
      <c r="K311" s="5">
        <v>21110</v>
      </c>
    </row>
    <row r="312" spans="1:11" x14ac:dyDescent="0.3">
      <c r="A312" s="9" t="s">
        <v>782</v>
      </c>
      <c r="B312" s="5" t="s">
        <v>783</v>
      </c>
      <c r="C312" s="5">
        <v>244</v>
      </c>
      <c r="D312" s="5">
        <v>19409714</v>
      </c>
      <c r="E312" s="5">
        <v>269431199040</v>
      </c>
      <c r="F312" s="5">
        <v>13450</v>
      </c>
      <c r="G312" s="5">
        <v>13330</v>
      </c>
      <c r="H312" s="5">
        <v>13880</v>
      </c>
      <c r="I312" s="5">
        <v>3.2</v>
      </c>
      <c r="J312" s="5">
        <v>13330</v>
      </c>
      <c r="K312" s="5">
        <v>14040</v>
      </c>
    </row>
    <row r="313" spans="1:11" x14ac:dyDescent="0.3">
      <c r="A313" s="9" t="s">
        <v>1657</v>
      </c>
      <c r="B313" s="5" t="s">
        <v>783</v>
      </c>
      <c r="C313" s="5">
        <v>20</v>
      </c>
      <c r="D313" s="5">
        <v>18550000</v>
      </c>
      <c r="E313" s="5">
        <v>18550000</v>
      </c>
      <c r="F313" s="5">
        <v>13450</v>
      </c>
      <c r="G313" s="5">
        <v>1</v>
      </c>
      <c r="H313" s="5">
        <v>1</v>
      </c>
      <c r="I313" s="5">
        <v>-99.99</v>
      </c>
      <c r="J313" s="5">
        <v>1</v>
      </c>
      <c r="K313" s="5">
        <v>1</v>
      </c>
    </row>
    <row r="314" spans="1:11" x14ac:dyDescent="0.3">
      <c r="A314" s="9" t="s">
        <v>917</v>
      </c>
      <c r="B314" s="5" t="s">
        <v>918</v>
      </c>
      <c r="C314" s="5">
        <v>607</v>
      </c>
      <c r="D314" s="5">
        <v>5466687</v>
      </c>
      <c r="E314" s="5">
        <v>30976934450</v>
      </c>
      <c r="F314" s="5">
        <v>5500</v>
      </c>
      <c r="G314" s="5">
        <v>5640</v>
      </c>
      <c r="H314" s="5">
        <v>5670</v>
      </c>
      <c r="I314" s="5">
        <v>3.09</v>
      </c>
      <c r="J314" s="5">
        <v>5500</v>
      </c>
      <c r="K314" s="5">
        <v>5760</v>
      </c>
    </row>
    <row r="315" spans="1:11" x14ac:dyDescent="0.3">
      <c r="A315" s="9" t="s">
        <v>1902</v>
      </c>
      <c r="B315" s="5" t="s">
        <v>1903</v>
      </c>
      <c r="C315" s="5">
        <v>106</v>
      </c>
      <c r="D315" s="5">
        <v>2156302</v>
      </c>
      <c r="E315" s="5">
        <v>13476887500</v>
      </c>
      <c r="F315" s="5">
        <v>5850</v>
      </c>
      <c r="G315" s="5">
        <v>6250</v>
      </c>
      <c r="H315" s="5">
        <v>6250</v>
      </c>
      <c r="I315" s="5">
        <v>6.84</v>
      </c>
      <c r="J315" s="5">
        <v>6250</v>
      </c>
      <c r="K315" s="5">
        <v>6250</v>
      </c>
    </row>
    <row r="316" spans="1:11" x14ac:dyDescent="0.3">
      <c r="A316" s="9" t="s">
        <v>766</v>
      </c>
      <c r="B316" s="5" t="s">
        <v>767</v>
      </c>
      <c r="C316" s="5">
        <v>596</v>
      </c>
      <c r="D316" s="5">
        <v>4771089</v>
      </c>
      <c r="E316" s="5">
        <v>36794632550</v>
      </c>
      <c r="F316" s="5">
        <v>7480</v>
      </c>
      <c r="G316" s="5">
        <v>7790</v>
      </c>
      <c r="H316" s="5">
        <v>7710</v>
      </c>
      <c r="I316" s="5">
        <v>3.07</v>
      </c>
      <c r="J316" s="5">
        <v>7620</v>
      </c>
      <c r="K316" s="5">
        <v>7850</v>
      </c>
    </row>
    <row r="317" spans="1:11" x14ac:dyDescent="0.3">
      <c r="A317" s="9" t="s">
        <v>961</v>
      </c>
      <c r="B317" s="5" t="s">
        <v>962</v>
      </c>
      <c r="C317" s="5">
        <v>422</v>
      </c>
      <c r="D317" s="5">
        <v>1785739</v>
      </c>
      <c r="E317" s="5">
        <v>39547171460</v>
      </c>
      <c r="F317" s="5">
        <v>21660</v>
      </c>
      <c r="G317" s="5">
        <v>22110</v>
      </c>
      <c r="H317" s="5">
        <v>22150</v>
      </c>
      <c r="I317" s="5">
        <v>2.2599999999999998</v>
      </c>
      <c r="J317" s="5">
        <v>21860</v>
      </c>
      <c r="K317" s="5">
        <v>22650</v>
      </c>
    </row>
    <row r="318" spans="1:11" x14ac:dyDescent="0.3">
      <c r="A318" s="9" t="s">
        <v>1650</v>
      </c>
      <c r="B318" s="5" t="s">
        <v>1651</v>
      </c>
      <c r="C318" s="5">
        <v>152</v>
      </c>
      <c r="D318" s="5">
        <v>1900000</v>
      </c>
      <c r="E318" s="5">
        <v>38595000000</v>
      </c>
      <c r="F318" s="5">
        <v>19980</v>
      </c>
      <c r="G318" s="5">
        <v>20050</v>
      </c>
      <c r="H318" s="5">
        <v>20310</v>
      </c>
      <c r="I318" s="5">
        <v>1.65</v>
      </c>
      <c r="J318" s="5">
        <v>20050</v>
      </c>
      <c r="K318" s="5">
        <v>20700</v>
      </c>
    </row>
    <row r="319" spans="1:11" x14ac:dyDescent="0.3">
      <c r="A319" s="9" t="s">
        <v>1600</v>
      </c>
      <c r="B319" s="5" t="s">
        <v>1601</v>
      </c>
      <c r="C319" s="5">
        <v>309</v>
      </c>
      <c r="D319" s="5">
        <v>1256130</v>
      </c>
      <c r="E319" s="5">
        <v>21224641190</v>
      </c>
      <c r="F319" s="5">
        <v>16410</v>
      </c>
      <c r="G319" s="5">
        <v>16970</v>
      </c>
      <c r="H319" s="5">
        <v>16520</v>
      </c>
      <c r="I319" s="5">
        <v>0.67</v>
      </c>
      <c r="J319" s="5">
        <v>16580</v>
      </c>
      <c r="K319" s="5">
        <v>17210</v>
      </c>
    </row>
    <row r="320" spans="1:11" x14ac:dyDescent="0.3">
      <c r="A320" s="9" t="s">
        <v>937</v>
      </c>
      <c r="B320" s="5" t="s">
        <v>938</v>
      </c>
      <c r="C320" s="5">
        <v>120</v>
      </c>
      <c r="D320" s="5">
        <v>545206</v>
      </c>
      <c r="E320" s="5">
        <v>10723186190</v>
      </c>
      <c r="F320" s="5">
        <v>19160</v>
      </c>
      <c r="G320" s="5">
        <v>19700</v>
      </c>
      <c r="H320" s="5">
        <v>19420</v>
      </c>
      <c r="I320" s="5">
        <v>1.36</v>
      </c>
      <c r="J320" s="5">
        <v>19400</v>
      </c>
      <c r="K320" s="5">
        <v>19730</v>
      </c>
    </row>
    <row r="321" spans="1:11" x14ac:dyDescent="0.3">
      <c r="A321" s="9" t="s">
        <v>113</v>
      </c>
      <c r="B321" s="5" t="s">
        <v>112</v>
      </c>
      <c r="C321" s="5">
        <v>359</v>
      </c>
      <c r="D321" s="5">
        <v>264900</v>
      </c>
      <c r="E321" s="5">
        <v>18448441900</v>
      </c>
      <c r="F321" s="5">
        <v>70500</v>
      </c>
      <c r="G321" s="5">
        <v>73200</v>
      </c>
      <c r="H321" s="5">
        <v>69650</v>
      </c>
      <c r="I321" s="5">
        <v>-1.21</v>
      </c>
      <c r="J321" s="5">
        <v>68550</v>
      </c>
      <c r="K321" s="5">
        <v>73200</v>
      </c>
    </row>
    <row r="322" spans="1:11" x14ac:dyDescent="0.3">
      <c r="A322" s="9" t="s">
        <v>665</v>
      </c>
      <c r="B322" s="5" t="s">
        <v>666</v>
      </c>
      <c r="C322" s="5">
        <v>1584</v>
      </c>
      <c r="D322" s="5">
        <v>23245563</v>
      </c>
      <c r="E322" s="5">
        <v>172173436440</v>
      </c>
      <c r="F322" s="5">
        <v>7020</v>
      </c>
      <c r="G322" s="5">
        <v>7100</v>
      </c>
      <c r="H322" s="5">
        <v>7410</v>
      </c>
      <c r="I322" s="5">
        <v>5.56</v>
      </c>
      <c r="J322" s="5">
        <v>7060</v>
      </c>
      <c r="K322" s="5">
        <v>7510</v>
      </c>
    </row>
    <row r="323" spans="1:11" x14ac:dyDescent="0.3">
      <c r="A323" s="9" t="s">
        <v>955</v>
      </c>
      <c r="B323" s="5" t="s">
        <v>956</v>
      </c>
      <c r="C323" s="5">
        <v>414</v>
      </c>
      <c r="D323" s="5">
        <v>515517</v>
      </c>
      <c r="E323" s="5">
        <v>18119303340</v>
      </c>
      <c r="F323" s="5">
        <v>35930</v>
      </c>
      <c r="G323" s="5">
        <v>37160</v>
      </c>
      <c r="H323" s="5">
        <v>35150</v>
      </c>
      <c r="I323" s="5">
        <v>-2.17</v>
      </c>
      <c r="J323" s="5">
        <v>33790</v>
      </c>
      <c r="K323" s="5">
        <v>38340</v>
      </c>
    </row>
    <row r="324" spans="1:11" x14ac:dyDescent="0.3">
      <c r="A324" s="9" t="s">
        <v>377</v>
      </c>
      <c r="B324" s="5" t="s">
        <v>376</v>
      </c>
      <c r="C324" s="5">
        <v>697</v>
      </c>
      <c r="D324" s="5">
        <v>2114778</v>
      </c>
      <c r="E324" s="5">
        <v>49367651130</v>
      </c>
      <c r="F324" s="5">
        <v>23740</v>
      </c>
      <c r="G324" s="5">
        <v>24100</v>
      </c>
      <c r="H324" s="5">
        <v>23340</v>
      </c>
      <c r="I324" s="5">
        <v>-1.68</v>
      </c>
      <c r="J324" s="5">
        <v>22840</v>
      </c>
      <c r="K324" s="5">
        <v>24720</v>
      </c>
    </row>
    <row r="325" spans="1:11" x14ac:dyDescent="0.3">
      <c r="A325" s="9" t="s">
        <v>1440</v>
      </c>
      <c r="B325" s="5" t="s">
        <v>1441</v>
      </c>
      <c r="C325" s="5">
        <v>1043</v>
      </c>
      <c r="D325" s="5">
        <v>27334329</v>
      </c>
      <c r="E325" s="5">
        <v>87657502173</v>
      </c>
      <c r="F325" s="5">
        <v>3080</v>
      </c>
      <c r="G325" s="5">
        <v>3158</v>
      </c>
      <c r="H325" s="5">
        <v>3207</v>
      </c>
      <c r="I325" s="5">
        <v>4.12</v>
      </c>
      <c r="J325" s="5">
        <v>3100</v>
      </c>
      <c r="K325" s="5">
        <v>3234</v>
      </c>
    </row>
    <row r="326" spans="1:11" x14ac:dyDescent="0.3">
      <c r="A326" s="9" t="s">
        <v>51</v>
      </c>
      <c r="B326" s="5" t="s">
        <v>50</v>
      </c>
      <c r="C326" s="5">
        <v>798</v>
      </c>
      <c r="D326" s="5">
        <v>4789794</v>
      </c>
      <c r="E326" s="5">
        <v>108080997400</v>
      </c>
      <c r="F326" s="5">
        <v>22450</v>
      </c>
      <c r="G326" s="5">
        <v>22650</v>
      </c>
      <c r="H326" s="5">
        <v>22550</v>
      </c>
      <c r="I326" s="5">
        <v>0.45</v>
      </c>
      <c r="J326" s="5">
        <v>22100</v>
      </c>
      <c r="K326" s="5">
        <v>23100</v>
      </c>
    </row>
    <row r="327" spans="1:11" x14ac:dyDescent="0.3">
      <c r="A327" s="9" t="s">
        <v>503</v>
      </c>
      <c r="B327" s="5" t="s">
        <v>504</v>
      </c>
      <c r="C327" s="5">
        <v>172</v>
      </c>
      <c r="D327" s="5">
        <v>2334419</v>
      </c>
      <c r="E327" s="5">
        <v>33867857310</v>
      </c>
      <c r="F327" s="5">
        <v>14160</v>
      </c>
      <c r="G327" s="5">
        <v>14280</v>
      </c>
      <c r="H327" s="5">
        <v>14510</v>
      </c>
      <c r="I327" s="5">
        <v>2.4700000000000002</v>
      </c>
      <c r="J327" s="5">
        <v>14280</v>
      </c>
      <c r="K327" s="5">
        <v>14580</v>
      </c>
    </row>
    <row r="328" spans="1:11" x14ac:dyDescent="0.3">
      <c r="A328" s="9" t="s">
        <v>1865</v>
      </c>
      <c r="B328" s="5" t="s">
        <v>1866</v>
      </c>
      <c r="C328" s="5">
        <v>1563</v>
      </c>
      <c r="D328" s="5">
        <v>103037593</v>
      </c>
      <c r="E328" s="5">
        <v>91600420177</v>
      </c>
      <c r="F328" s="5">
        <v>847</v>
      </c>
      <c r="G328" s="5">
        <v>889</v>
      </c>
      <c r="H328" s="5">
        <v>889</v>
      </c>
      <c r="I328" s="5">
        <v>4.96</v>
      </c>
      <c r="J328" s="5">
        <v>889</v>
      </c>
      <c r="K328" s="5">
        <v>889</v>
      </c>
    </row>
    <row r="329" spans="1:11" x14ac:dyDescent="0.3">
      <c r="A329" s="9" t="s">
        <v>1416</v>
      </c>
      <c r="B329" s="5" t="s">
        <v>1417</v>
      </c>
      <c r="C329" s="5">
        <v>10</v>
      </c>
      <c r="D329" s="5">
        <v>78759</v>
      </c>
      <c r="E329" s="5">
        <v>826576893</v>
      </c>
      <c r="F329" s="5">
        <v>10473</v>
      </c>
      <c r="G329" s="5">
        <v>10479</v>
      </c>
      <c r="H329" s="5">
        <v>10495</v>
      </c>
      <c r="I329" s="5">
        <v>0.21</v>
      </c>
      <c r="J329" s="5">
        <v>10479</v>
      </c>
      <c r="K329" s="5">
        <v>10497</v>
      </c>
    </row>
    <row r="330" spans="1:11" x14ac:dyDescent="0.3">
      <c r="A330" s="9" t="s">
        <v>963</v>
      </c>
      <c r="B330" s="5" t="s">
        <v>964</v>
      </c>
      <c r="C330" s="5">
        <v>8003</v>
      </c>
      <c r="D330" s="5">
        <v>226365588</v>
      </c>
      <c r="E330" s="5">
        <v>901834587487</v>
      </c>
      <c r="F330" s="5">
        <v>3877</v>
      </c>
      <c r="G330" s="5">
        <v>3960</v>
      </c>
      <c r="H330" s="5">
        <v>3984</v>
      </c>
      <c r="I330" s="5">
        <v>2.76</v>
      </c>
      <c r="J330" s="5">
        <v>3874</v>
      </c>
      <c r="K330" s="5">
        <v>4070</v>
      </c>
    </row>
    <row r="331" spans="1:11" x14ac:dyDescent="0.3">
      <c r="A331" s="9" t="s">
        <v>173</v>
      </c>
      <c r="B331" s="5" t="s">
        <v>172</v>
      </c>
      <c r="C331" s="5">
        <v>472</v>
      </c>
      <c r="D331" s="5">
        <v>38774635</v>
      </c>
      <c r="E331" s="5">
        <v>192570310585</v>
      </c>
      <c r="F331" s="5">
        <v>4646</v>
      </c>
      <c r="G331" s="5">
        <v>4971</v>
      </c>
      <c r="H331" s="5">
        <v>4966</v>
      </c>
      <c r="I331" s="5">
        <v>6.89</v>
      </c>
      <c r="J331" s="5">
        <v>4880</v>
      </c>
      <c r="K331" s="5">
        <v>4971</v>
      </c>
    </row>
    <row r="332" spans="1:11" x14ac:dyDescent="0.3">
      <c r="A332" s="9" t="s">
        <v>699</v>
      </c>
      <c r="B332" s="5" t="s">
        <v>677</v>
      </c>
      <c r="C332" s="5">
        <v>166</v>
      </c>
      <c r="D332" s="5">
        <v>40749539</v>
      </c>
      <c r="E332" s="5">
        <v>449448987589</v>
      </c>
      <c r="F332" s="5">
        <v>11000</v>
      </c>
      <c r="G332" s="5">
        <v>11016</v>
      </c>
      <c r="H332" s="5">
        <v>11030</v>
      </c>
      <c r="I332" s="5">
        <v>0.27</v>
      </c>
      <c r="J332" s="5">
        <v>11016</v>
      </c>
      <c r="K332" s="5">
        <v>11031</v>
      </c>
    </row>
    <row r="333" spans="1:11" x14ac:dyDescent="0.3">
      <c r="A333" s="9" t="s">
        <v>1718</v>
      </c>
      <c r="B333" s="5" t="s">
        <v>677</v>
      </c>
      <c r="C333" s="5">
        <v>71</v>
      </c>
      <c r="D333" s="5">
        <v>70276000</v>
      </c>
      <c r="E333" s="5">
        <v>70276000</v>
      </c>
      <c r="F333" s="5">
        <v>11000</v>
      </c>
      <c r="G333" s="5">
        <v>1</v>
      </c>
      <c r="H333" s="5">
        <v>1</v>
      </c>
      <c r="I333" s="5">
        <v>-99.99</v>
      </c>
      <c r="J333" s="5">
        <v>1</v>
      </c>
      <c r="K333" s="5">
        <v>1</v>
      </c>
    </row>
    <row r="334" spans="1:11" x14ac:dyDescent="0.3">
      <c r="A334" s="9" t="s">
        <v>1837</v>
      </c>
      <c r="B334" s="5" t="s">
        <v>677</v>
      </c>
      <c r="C334" s="5">
        <v>1</v>
      </c>
      <c r="D334" s="5">
        <v>30000000</v>
      </c>
      <c r="E334" s="5">
        <v>330480000000</v>
      </c>
      <c r="F334" s="5">
        <v>11000</v>
      </c>
      <c r="G334" s="5">
        <v>11016</v>
      </c>
      <c r="H334" s="5">
        <v>11016</v>
      </c>
      <c r="I334" s="5">
        <v>0.15</v>
      </c>
      <c r="J334" s="5">
        <v>11016</v>
      </c>
      <c r="K334" s="5">
        <v>11016</v>
      </c>
    </row>
    <row r="335" spans="1:11" x14ac:dyDescent="0.3">
      <c r="A335" s="9" t="s">
        <v>784</v>
      </c>
      <c r="B335" s="5" t="s">
        <v>785</v>
      </c>
      <c r="C335" s="5">
        <v>650</v>
      </c>
      <c r="D335" s="5">
        <v>10216084</v>
      </c>
      <c r="E335" s="5">
        <v>32180343436</v>
      </c>
      <c r="F335" s="5">
        <v>3099</v>
      </c>
      <c r="G335" s="5">
        <v>3146</v>
      </c>
      <c r="H335" s="5">
        <v>3150</v>
      </c>
      <c r="I335" s="5">
        <v>1.65</v>
      </c>
      <c r="J335" s="5">
        <v>3120</v>
      </c>
      <c r="K335" s="5">
        <v>3185</v>
      </c>
    </row>
    <row r="336" spans="1:11" x14ac:dyDescent="0.3">
      <c r="A336" s="9" t="s">
        <v>1636</v>
      </c>
      <c r="B336" s="5" t="s">
        <v>1637</v>
      </c>
      <c r="C336" s="5">
        <v>523</v>
      </c>
      <c r="D336" s="5">
        <v>5675746</v>
      </c>
      <c r="E336" s="5">
        <v>18283683410</v>
      </c>
      <c r="F336" s="5">
        <v>3157</v>
      </c>
      <c r="G336" s="5">
        <v>3290</v>
      </c>
      <c r="H336" s="5">
        <v>3221</v>
      </c>
      <c r="I336" s="5">
        <v>2.0299999999999998</v>
      </c>
      <c r="J336" s="5">
        <v>3177</v>
      </c>
      <c r="K336" s="5">
        <v>3290</v>
      </c>
    </row>
    <row r="337" spans="1:11" x14ac:dyDescent="0.3">
      <c r="A337" s="9" t="s">
        <v>10</v>
      </c>
      <c r="B337" s="5" t="s">
        <v>792</v>
      </c>
      <c r="C337" s="5">
        <v>2453</v>
      </c>
      <c r="D337" s="5">
        <v>18080255</v>
      </c>
      <c r="E337" s="5">
        <v>246801175530</v>
      </c>
      <c r="F337" s="5">
        <v>13910</v>
      </c>
      <c r="G337" s="5">
        <v>14100</v>
      </c>
      <c r="H337" s="5">
        <v>13650</v>
      </c>
      <c r="I337" s="5">
        <v>-1.87</v>
      </c>
      <c r="J337" s="5">
        <v>13470</v>
      </c>
      <c r="K337" s="5">
        <v>14100</v>
      </c>
    </row>
    <row r="338" spans="1:11" x14ac:dyDescent="0.3">
      <c r="A338" s="9" t="s">
        <v>1449</v>
      </c>
      <c r="B338" s="5" t="s">
        <v>1450</v>
      </c>
      <c r="C338" s="5">
        <v>574</v>
      </c>
      <c r="D338" s="5">
        <v>3581208</v>
      </c>
      <c r="E338" s="5">
        <v>36403171880</v>
      </c>
      <c r="F338" s="5">
        <v>10230</v>
      </c>
      <c r="G338" s="5">
        <v>10590</v>
      </c>
      <c r="H338" s="5">
        <v>10170</v>
      </c>
      <c r="I338" s="5">
        <v>-0.59</v>
      </c>
      <c r="J338" s="5">
        <v>9920</v>
      </c>
      <c r="K338" s="5">
        <v>10590</v>
      </c>
    </row>
    <row r="339" spans="1:11" x14ac:dyDescent="0.3">
      <c r="A339" s="9" t="s">
        <v>360</v>
      </c>
      <c r="B339" s="5" t="s">
        <v>359</v>
      </c>
      <c r="C339" s="5">
        <v>666</v>
      </c>
      <c r="D339" s="5">
        <v>1838776</v>
      </c>
      <c r="E339" s="5">
        <v>43936798500</v>
      </c>
      <c r="F339" s="5">
        <v>24200</v>
      </c>
      <c r="G339" s="5">
        <v>24500</v>
      </c>
      <c r="H339" s="5">
        <v>23900</v>
      </c>
      <c r="I339" s="5">
        <v>-1.24</v>
      </c>
      <c r="J339" s="5">
        <v>23400</v>
      </c>
      <c r="K339" s="5">
        <v>24600</v>
      </c>
    </row>
    <row r="340" spans="1:11" x14ac:dyDescent="0.3">
      <c r="A340" s="9" t="s">
        <v>329</v>
      </c>
      <c r="B340" s="5" t="s">
        <v>328</v>
      </c>
      <c r="C340" s="5">
        <v>1895</v>
      </c>
      <c r="D340" s="5">
        <v>920295</v>
      </c>
      <c r="E340" s="5">
        <v>171630002550</v>
      </c>
      <c r="F340" s="5">
        <v>181350</v>
      </c>
      <c r="G340" s="5">
        <v>189000</v>
      </c>
      <c r="H340" s="5">
        <v>186500</v>
      </c>
      <c r="I340" s="5">
        <v>2.84</v>
      </c>
      <c r="J340" s="5">
        <v>181400</v>
      </c>
      <c r="K340" s="5">
        <v>189000</v>
      </c>
    </row>
    <row r="341" spans="1:11" x14ac:dyDescent="0.3">
      <c r="A341" s="9" t="s">
        <v>1474</v>
      </c>
      <c r="B341" s="5" t="s">
        <v>1475</v>
      </c>
      <c r="C341" s="5">
        <v>179</v>
      </c>
      <c r="D341" s="5">
        <v>75541</v>
      </c>
      <c r="E341" s="5">
        <v>4806382300</v>
      </c>
      <c r="F341" s="5">
        <v>65190</v>
      </c>
      <c r="G341" s="5">
        <v>63900</v>
      </c>
      <c r="H341" s="5">
        <v>64980</v>
      </c>
      <c r="I341" s="5">
        <v>-0.32</v>
      </c>
      <c r="J341" s="5">
        <v>63000</v>
      </c>
      <c r="K341" s="5">
        <v>64450</v>
      </c>
    </row>
    <row r="342" spans="1:11" x14ac:dyDescent="0.3">
      <c r="A342" s="9" t="s">
        <v>1291</v>
      </c>
      <c r="B342" s="5" t="s">
        <v>1292</v>
      </c>
      <c r="C342" s="5">
        <v>1556</v>
      </c>
      <c r="D342" s="5">
        <v>1160263</v>
      </c>
      <c r="E342" s="5">
        <v>148466723033</v>
      </c>
      <c r="F342" s="5">
        <v>124797</v>
      </c>
      <c r="G342" s="5">
        <v>127350</v>
      </c>
      <c r="H342" s="5">
        <v>127960</v>
      </c>
      <c r="I342" s="5">
        <v>2.5299999999999998</v>
      </c>
      <c r="J342" s="5">
        <v>127090</v>
      </c>
      <c r="K342" s="5">
        <v>128593</v>
      </c>
    </row>
    <row r="343" spans="1:11" x14ac:dyDescent="0.3">
      <c r="A343" s="9" t="s">
        <v>636</v>
      </c>
      <c r="B343" s="5" t="s">
        <v>637</v>
      </c>
      <c r="C343" s="5">
        <v>23</v>
      </c>
      <c r="D343" s="5">
        <v>5236</v>
      </c>
      <c r="E343" s="5">
        <v>2010088176</v>
      </c>
      <c r="F343" s="5">
        <v>385790</v>
      </c>
      <c r="G343" s="5">
        <v>380000</v>
      </c>
      <c r="H343" s="5">
        <v>383898</v>
      </c>
      <c r="I343" s="5">
        <v>-0.49</v>
      </c>
      <c r="J343" s="5">
        <v>380000</v>
      </c>
      <c r="K343" s="5">
        <v>388000</v>
      </c>
    </row>
    <row r="344" spans="1:11" x14ac:dyDescent="0.3">
      <c r="A344" s="9" t="s">
        <v>630</v>
      </c>
      <c r="B344" s="5" t="s">
        <v>631</v>
      </c>
      <c r="C344" s="5">
        <v>11</v>
      </c>
      <c r="D344" s="5">
        <v>6542</v>
      </c>
      <c r="E344" s="5">
        <v>2490980260</v>
      </c>
      <c r="F344" s="5">
        <v>380198</v>
      </c>
      <c r="G344" s="5">
        <v>380000</v>
      </c>
      <c r="H344" s="5">
        <v>380767</v>
      </c>
      <c r="I344" s="5">
        <v>0.15</v>
      </c>
      <c r="J344" s="5">
        <v>379998</v>
      </c>
      <c r="K344" s="5">
        <v>382000</v>
      </c>
    </row>
    <row r="345" spans="1:11" x14ac:dyDescent="0.3">
      <c r="A345" s="9" t="s">
        <v>632</v>
      </c>
      <c r="B345" s="5" t="s">
        <v>633</v>
      </c>
      <c r="C345" s="5">
        <v>149</v>
      </c>
      <c r="D345" s="5">
        <v>107868</v>
      </c>
      <c r="E345" s="5">
        <v>41402872104</v>
      </c>
      <c r="F345" s="5">
        <v>384011</v>
      </c>
      <c r="G345" s="5">
        <v>385000</v>
      </c>
      <c r="H345" s="5">
        <v>383829</v>
      </c>
      <c r="I345" s="5">
        <v>-0.05</v>
      </c>
      <c r="J345" s="5">
        <v>382000</v>
      </c>
      <c r="K345" s="5">
        <v>392000</v>
      </c>
    </row>
    <row r="346" spans="1:11" x14ac:dyDescent="0.3">
      <c r="A346" s="9" t="s">
        <v>626</v>
      </c>
      <c r="B346" s="5" t="s">
        <v>627</v>
      </c>
      <c r="C346" s="5">
        <v>14</v>
      </c>
      <c r="D346" s="5">
        <v>4542</v>
      </c>
      <c r="E346" s="5">
        <v>1717062767</v>
      </c>
      <c r="F346" s="5">
        <v>380195</v>
      </c>
      <c r="G346" s="5">
        <v>372000</v>
      </c>
      <c r="H346" s="5">
        <v>378041</v>
      </c>
      <c r="I346" s="5">
        <v>-0.56999999999999995</v>
      </c>
      <c r="J346" s="5">
        <v>372000</v>
      </c>
      <c r="K346" s="5">
        <v>381999</v>
      </c>
    </row>
    <row r="347" spans="1:11" x14ac:dyDescent="0.3">
      <c r="A347" s="9" t="s">
        <v>634</v>
      </c>
      <c r="B347" s="5" t="s">
        <v>635</v>
      </c>
      <c r="C347" s="5">
        <v>3</v>
      </c>
      <c r="D347" s="5">
        <v>1285</v>
      </c>
      <c r="E347" s="5">
        <v>486020685</v>
      </c>
      <c r="F347" s="5">
        <v>382369</v>
      </c>
      <c r="G347" s="5">
        <v>372001</v>
      </c>
      <c r="H347" s="5">
        <v>378226</v>
      </c>
      <c r="I347" s="5">
        <v>-1.08</v>
      </c>
      <c r="J347" s="5">
        <v>372001</v>
      </c>
      <c r="K347" s="5">
        <v>380000</v>
      </c>
    </row>
    <row r="348" spans="1:11" x14ac:dyDescent="0.3">
      <c r="A348" s="9" t="s">
        <v>622</v>
      </c>
      <c r="B348" s="5" t="s">
        <v>623</v>
      </c>
      <c r="C348" s="5">
        <v>41</v>
      </c>
      <c r="D348" s="5">
        <v>7707</v>
      </c>
      <c r="E348" s="5">
        <v>2918907559</v>
      </c>
      <c r="F348" s="5">
        <v>381517</v>
      </c>
      <c r="G348" s="5">
        <v>372000</v>
      </c>
      <c r="H348" s="5">
        <v>378735</v>
      </c>
      <c r="I348" s="5">
        <v>-0.73</v>
      </c>
      <c r="J348" s="5">
        <v>372000</v>
      </c>
      <c r="K348" s="5">
        <v>383999</v>
      </c>
    </row>
    <row r="349" spans="1:11" x14ac:dyDescent="0.3">
      <c r="A349" s="9" t="s">
        <v>722</v>
      </c>
      <c r="B349" s="5" t="s">
        <v>723</v>
      </c>
      <c r="C349" s="5">
        <v>4</v>
      </c>
      <c r="D349" s="5">
        <v>591</v>
      </c>
      <c r="E349" s="5">
        <v>225455700</v>
      </c>
      <c r="F349" s="5">
        <v>379490</v>
      </c>
      <c r="G349" s="5">
        <v>382000</v>
      </c>
      <c r="H349" s="5">
        <v>381482</v>
      </c>
      <c r="I349" s="5">
        <v>0.52</v>
      </c>
      <c r="J349" s="5">
        <v>380100</v>
      </c>
      <c r="K349" s="5">
        <v>382000</v>
      </c>
    </row>
    <row r="350" spans="1:11" x14ac:dyDescent="0.3">
      <c r="A350" s="9" t="s">
        <v>624</v>
      </c>
      <c r="B350" s="5" t="s">
        <v>625</v>
      </c>
      <c r="C350" s="5">
        <v>2</v>
      </c>
      <c r="D350" s="5">
        <v>300</v>
      </c>
      <c r="E350" s="5">
        <v>119969900</v>
      </c>
      <c r="F350" s="5">
        <v>375422</v>
      </c>
      <c r="G350" s="5">
        <v>399899</v>
      </c>
      <c r="H350" s="5">
        <v>399900</v>
      </c>
      <c r="I350" s="5">
        <v>6.52</v>
      </c>
      <c r="J350" s="5">
        <v>399899</v>
      </c>
      <c r="K350" s="5">
        <v>399900</v>
      </c>
    </row>
    <row r="351" spans="1:11" x14ac:dyDescent="0.3">
      <c r="A351" s="9" t="s">
        <v>704</v>
      </c>
      <c r="B351" s="5" t="s">
        <v>705</v>
      </c>
      <c r="C351" s="5">
        <v>13</v>
      </c>
      <c r="D351" s="5">
        <v>888</v>
      </c>
      <c r="E351" s="5">
        <v>339859852</v>
      </c>
      <c r="F351" s="5">
        <v>383629</v>
      </c>
      <c r="G351" s="5">
        <v>364155</v>
      </c>
      <c r="H351" s="5">
        <v>382725</v>
      </c>
      <c r="I351" s="5">
        <v>-0.24</v>
      </c>
      <c r="J351" s="5">
        <v>364155</v>
      </c>
      <c r="K351" s="5">
        <v>401998</v>
      </c>
    </row>
    <row r="352" spans="1:11" x14ac:dyDescent="0.3">
      <c r="A352" s="9" t="s">
        <v>1797</v>
      </c>
      <c r="B352" s="5" t="s">
        <v>705</v>
      </c>
      <c r="C352" s="5">
        <v>1</v>
      </c>
      <c r="D352" s="5">
        <v>451406</v>
      </c>
      <c r="E352" s="5">
        <v>180562400000</v>
      </c>
      <c r="F352" s="5">
        <v>383629</v>
      </c>
      <c r="G352" s="5">
        <v>400000</v>
      </c>
      <c r="H352" s="5">
        <v>400000</v>
      </c>
      <c r="I352" s="5">
        <v>4.2699999999999996</v>
      </c>
      <c r="J352" s="5">
        <v>400000</v>
      </c>
      <c r="K352" s="5">
        <v>400000</v>
      </c>
    </row>
    <row r="353" spans="1:11" x14ac:dyDescent="0.3">
      <c r="A353" s="9" t="s">
        <v>1669</v>
      </c>
      <c r="B353" s="5" t="s">
        <v>1670</v>
      </c>
      <c r="C353" s="5">
        <v>578</v>
      </c>
      <c r="D353" s="5">
        <v>4402276</v>
      </c>
      <c r="E353" s="5">
        <v>55924636450</v>
      </c>
      <c r="F353" s="5">
        <v>12490</v>
      </c>
      <c r="G353" s="5">
        <v>12850</v>
      </c>
      <c r="H353" s="5">
        <v>12700</v>
      </c>
      <c r="I353" s="5">
        <v>1.68</v>
      </c>
      <c r="J353" s="5">
        <v>12430</v>
      </c>
      <c r="K353" s="5">
        <v>13150</v>
      </c>
    </row>
    <row r="354" spans="1:11" x14ac:dyDescent="0.3">
      <c r="A354" s="9" t="s">
        <v>1813</v>
      </c>
      <c r="B354" s="5" t="s">
        <v>1670</v>
      </c>
      <c r="C354" s="5">
        <v>1</v>
      </c>
      <c r="D354" s="5">
        <v>1600000</v>
      </c>
      <c r="E354" s="5">
        <v>20448000000</v>
      </c>
      <c r="F354" s="5">
        <v>12490</v>
      </c>
      <c r="G354" s="5">
        <v>12780</v>
      </c>
      <c r="H354" s="5">
        <v>12780</v>
      </c>
      <c r="I354" s="5">
        <v>2.3199999999999998</v>
      </c>
      <c r="J354" s="5">
        <v>12780</v>
      </c>
      <c r="K354" s="5">
        <v>12780</v>
      </c>
    </row>
    <row r="355" spans="1:11" x14ac:dyDescent="0.3">
      <c r="A355" s="9" t="s">
        <v>410</v>
      </c>
      <c r="B355" s="5" t="s">
        <v>411</v>
      </c>
      <c r="C355" s="5">
        <v>843</v>
      </c>
      <c r="D355" s="5">
        <v>4202645</v>
      </c>
      <c r="E355" s="5">
        <v>131144808500</v>
      </c>
      <c r="F355" s="5">
        <v>29700</v>
      </c>
      <c r="G355" s="5">
        <v>29700</v>
      </c>
      <c r="H355" s="5">
        <v>31200</v>
      </c>
      <c r="I355" s="5">
        <v>5.05</v>
      </c>
      <c r="J355" s="5">
        <v>29000</v>
      </c>
      <c r="K355" s="5">
        <v>31750</v>
      </c>
    </row>
    <row r="356" spans="1:11" x14ac:dyDescent="0.3">
      <c r="A356" s="9" t="s">
        <v>1171</v>
      </c>
      <c r="B356" s="5" t="s">
        <v>1172</v>
      </c>
      <c r="C356" s="5">
        <v>915</v>
      </c>
      <c r="D356" s="5">
        <v>2788792</v>
      </c>
      <c r="E356" s="5">
        <v>47323187830</v>
      </c>
      <c r="F356" s="5">
        <v>16360</v>
      </c>
      <c r="G356" s="5">
        <v>16470</v>
      </c>
      <c r="H356" s="5">
        <v>16970</v>
      </c>
      <c r="I356" s="5">
        <v>3.73</v>
      </c>
      <c r="J356" s="5">
        <v>16400</v>
      </c>
      <c r="K356" s="5">
        <v>17450</v>
      </c>
    </row>
    <row r="357" spans="1:11" x14ac:dyDescent="0.3">
      <c r="A357" s="9" t="s">
        <v>1113</v>
      </c>
      <c r="B357" s="5" t="s">
        <v>1114</v>
      </c>
      <c r="C357" s="5">
        <v>289</v>
      </c>
      <c r="D357" s="5">
        <v>7231388</v>
      </c>
      <c r="E357" s="5">
        <v>14416810822</v>
      </c>
      <c r="F357" s="5">
        <v>1948</v>
      </c>
      <c r="G357" s="5">
        <v>2005</v>
      </c>
      <c r="H357" s="5">
        <v>1994</v>
      </c>
      <c r="I357" s="5">
        <v>2.36</v>
      </c>
      <c r="J357" s="5">
        <v>1961</v>
      </c>
      <c r="K357" s="5">
        <v>2006</v>
      </c>
    </row>
    <row r="358" spans="1:11" x14ac:dyDescent="0.3">
      <c r="A358" s="9" t="s">
        <v>1247</v>
      </c>
      <c r="B358" s="5" t="s">
        <v>1248</v>
      </c>
      <c r="C358" s="5">
        <v>183</v>
      </c>
      <c r="D358" s="5">
        <v>7926916</v>
      </c>
      <c r="E358" s="5">
        <v>5659818024</v>
      </c>
      <c r="F358" s="5">
        <v>694</v>
      </c>
      <c r="G358" s="5">
        <v>714</v>
      </c>
      <c r="H358" s="5">
        <v>714</v>
      </c>
      <c r="I358" s="5">
        <v>2.88</v>
      </c>
      <c r="J358" s="5">
        <v>714</v>
      </c>
      <c r="K358" s="5">
        <v>714</v>
      </c>
    </row>
    <row r="359" spans="1:11" x14ac:dyDescent="0.3">
      <c r="A359" s="9" t="s">
        <v>234</v>
      </c>
      <c r="B359" s="5" t="s">
        <v>233</v>
      </c>
      <c r="C359" s="5">
        <v>740</v>
      </c>
      <c r="D359" s="5">
        <v>6135612</v>
      </c>
      <c r="E359" s="5">
        <v>101026965720</v>
      </c>
      <c r="F359" s="5">
        <v>16250</v>
      </c>
      <c r="G359" s="5">
        <v>16400</v>
      </c>
      <c r="H359" s="5">
        <v>16470</v>
      </c>
      <c r="I359" s="5">
        <v>1.35</v>
      </c>
      <c r="J359" s="5">
        <v>16310</v>
      </c>
      <c r="K359" s="5">
        <v>16580</v>
      </c>
    </row>
    <row r="360" spans="1:11" x14ac:dyDescent="0.3">
      <c r="A360" s="9" t="s">
        <v>1418</v>
      </c>
      <c r="B360" s="5" t="s">
        <v>233</v>
      </c>
      <c r="C360" s="5">
        <v>11</v>
      </c>
      <c r="D360" s="5">
        <v>1900000</v>
      </c>
      <c r="E360" s="5">
        <v>1900000</v>
      </c>
      <c r="F360" s="5">
        <v>16250</v>
      </c>
      <c r="G360" s="5">
        <v>1</v>
      </c>
      <c r="H360" s="5">
        <v>1</v>
      </c>
      <c r="I360" s="5">
        <v>-99.99</v>
      </c>
      <c r="J360" s="5">
        <v>1</v>
      </c>
      <c r="K360" s="5">
        <v>1</v>
      </c>
    </row>
    <row r="361" spans="1:11" x14ac:dyDescent="0.3">
      <c r="A361" s="9" t="s">
        <v>25</v>
      </c>
      <c r="B361" s="5" t="s">
        <v>24</v>
      </c>
      <c r="C361" s="5">
        <v>3166</v>
      </c>
      <c r="D361" s="5">
        <v>15779480</v>
      </c>
      <c r="E361" s="5">
        <v>284386239590</v>
      </c>
      <c r="F361" s="5">
        <v>17180</v>
      </c>
      <c r="G361" s="5">
        <v>18030</v>
      </c>
      <c r="H361" s="5">
        <v>18020</v>
      </c>
      <c r="I361" s="5">
        <v>4.8899999999999997</v>
      </c>
      <c r="J361" s="5">
        <v>17610</v>
      </c>
      <c r="K361" s="5">
        <v>18030</v>
      </c>
    </row>
    <row r="362" spans="1:11" x14ac:dyDescent="0.3">
      <c r="A362" s="9" t="s">
        <v>444</v>
      </c>
      <c r="B362" s="5" t="s">
        <v>445</v>
      </c>
      <c r="C362" s="5">
        <v>241</v>
      </c>
      <c r="D362" s="5">
        <v>1481904</v>
      </c>
      <c r="E362" s="5">
        <v>13140947850</v>
      </c>
      <c r="F362" s="5">
        <v>8910</v>
      </c>
      <c r="G362" s="5">
        <v>8990</v>
      </c>
      <c r="H362" s="5">
        <v>8880</v>
      </c>
      <c r="I362" s="5">
        <v>-0.34</v>
      </c>
      <c r="J362" s="5">
        <v>8670</v>
      </c>
      <c r="K362" s="5">
        <v>9080</v>
      </c>
    </row>
    <row r="363" spans="1:11" x14ac:dyDescent="0.3">
      <c r="A363" s="9" t="s">
        <v>371</v>
      </c>
      <c r="B363" s="5" t="s">
        <v>370</v>
      </c>
      <c r="C363" s="5">
        <v>164</v>
      </c>
      <c r="D363" s="5">
        <v>309849</v>
      </c>
      <c r="E363" s="5">
        <v>8494229340</v>
      </c>
      <c r="F363" s="5">
        <v>26920</v>
      </c>
      <c r="G363" s="5">
        <v>27800</v>
      </c>
      <c r="H363" s="5">
        <v>27180</v>
      </c>
      <c r="I363" s="5">
        <v>0.97</v>
      </c>
      <c r="J363" s="5">
        <v>26960</v>
      </c>
      <c r="K363" s="5">
        <v>28760</v>
      </c>
    </row>
    <row r="364" spans="1:11" x14ac:dyDescent="0.3">
      <c r="A364" s="9" t="s">
        <v>1648</v>
      </c>
      <c r="B364" s="5" t="s">
        <v>1649</v>
      </c>
      <c r="C364" s="5">
        <v>119</v>
      </c>
      <c r="D364" s="5">
        <v>906197</v>
      </c>
      <c r="E364" s="5">
        <v>31862413850</v>
      </c>
      <c r="F364" s="5">
        <v>33550</v>
      </c>
      <c r="G364" s="5">
        <v>33800</v>
      </c>
      <c r="H364" s="5">
        <v>35150</v>
      </c>
      <c r="I364" s="5">
        <v>4.7699999999999996</v>
      </c>
      <c r="J364" s="5">
        <v>33800</v>
      </c>
      <c r="K364" s="5">
        <v>35200</v>
      </c>
    </row>
    <row r="365" spans="1:11" x14ac:dyDescent="0.3">
      <c r="A365" s="9" t="s">
        <v>303</v>
      </c>
      <c r="B365" s="5" t="s">
        <v>302</v>
      </c>
      <c r="C365" s="5">
        <v>345</v>
      </c>
      <c r="D365" s="5">
        <v>696033</v>
      </c>
      <c r="E365" s="5">
        <v>26925279230</v>
      </c>
      <c r="F365" s="5">
        <v>38640</v>
      </c>
      <c r="G365" s="5">
        <v>40420</v>
      </c>
      <c r="H365" s="5">
        <v>38680</v>
      </c>
      <c r="I365" s="5">
        <v>0.1</v>
      </c>
      <c r="J365" s="5">
        <v>38170</v>
      </c>
      <c r="K365" s="5">
        <v>40420</v>
      </c>
    </row>
    <row r="366" spans="1:11" x14ac:dyDescent="0.3">
      <c r="A366" s="9" t="s">
        <v>1662</v>
      </c>
      <c r="B366" s="5" t="s">
        <v>1494</v>
      </c>
      <c r="C366" s="5">
        <v>10</v>
      </c>
      <c r="D366" s="5">
        <v>1000000</v>
      </c>
      <c r="E366" s="5">
        <v>1000000</v>
      </c>
      <c r="F366" s="5">
        <v>10296</v>
      </c>
      <c r="G366" s="5">
        <v>1</v>
      </c>
      <c r="H366" s="5">
        <v>1</v>
      </c>
      <c r="I366" s="5">
        <v>-99.99</v>
      </c>
      <c r="J366" s="5">
        <v>1</v>
      </c>
      <c r="K366" s="5">
        <v>1</v>
      </c>
    </row>
    <row r="367" spans="1:11" x14ac:dyDescent="0.3">
      <c r="A367" s="9" t="s">
        <v>1122</v>
      </c>
      <c r="B367" s="5" t="s">
        <v>1123</v>
      </c>
      <c r="C367" s="5">
        <v>346</v>
      </c>
      <c r="D367" s="5">
        <v>22179012</v>
      </c>
      <c r="E367" s="5">
        <v>63210184200</v>
      </c>
      <c r="F367" s="5">
        <v>2767</v>
      </c>
      <c r="G367" s="5">
        <v>2850</v>
      </c>
      <c r="H367" s="5">
        <v>2850</v>
      </c>
      <c r="I367" s="5">
        <v>3</v>
      </c>
      <c r="J367" s="5">
        <v>2850</v>
      </c>
      <c r="K367" s="5">
        <v>2850</v>
      </c>
    </row>
    <row r="368" spans="1:11" x14ac:dyDescent="0.3">
      <c r="A368" s="9" t="s">
        <v>1844</v>
      </c>
      <c r="B368" s="5" t="s">
        <v>1845</v>
      </c>
      <c r="C368" s="5">
        <v>2577</v>
      </c>
      <c r="D368" s="5">
        <v>482000000</v>
      </c>
      <c r="E368" s="5">
        <v>843500000000</v>
      </c>
      <c r="F368" s="5">
        <v>1191</v>
      </c>
      <c r="G368" s="5">
        <v>1750</v>
      </c>
      <c r="H368" s="5">
        <v>1750</v>
      </c>
      <c r="I368" s="5">
        <v>46.94</v>
      </c>
      <c r="J368" s="5">
        <v>1750</v>
      </c>
      <c r="K368" s="5">
        <v>1750</v>
      </c>
    </row>
    <row r="369" spans="1:11" x14ac:dyDescent="0.3">
      <c r="A369" s="9" t="s">
        <v>1429</v>
      </c>
      <c r="B369" s="5" t="s">
        <v>1430</v>
      </c>
      <c r="C369" s="5">
        <v>806</v>
      </c>
      <c r="D369" s="5">
        <v>1776074</v>
      </c>
      <c r="E369" s="5">
        <v>56628919300</v>
      </c>
      <c r="F369" s="5">
        <v>30150</v>
      </c>
      <c r="G369" s="5">
        <v>31000</v>
      </c>
      <c r="H369" s="5">
        <v>31900</v>
      </c>
      <c r="I369" s="5">
        <v>5.8</v>
      </c>
      <c r="J369" s="5">
        <v>30750</v>
      </c>
      <c r="K369" s="5">
        <v>32250</v>
      </c>
    </row>
    <row r="370" spans="1:11" x14ac:dyDescent="0.3">
      <c r="A370" s="9" t="s">
        <v>846</v>
      </c>
      <c r="B370" s="5" t="s">
        <v>847</v>
      </c>
      <c r="C370" s="5">
        <v>166</v>
      </c>
      <c r="D370" s="5">
        <v>952279</v>
      </c>
      <c r="E370" s="5">
        <v>16721933630</v>
      </c>
      <c r="F370" s="5">
        <v>17300</v>
      </c>
      <c r="G370" s="5">
        <v>17350</v>
      </c>
      <c r="H370" s="5">
        <v>17510</v>
      </c>
      <c r="I370" s="5">
        <v>1.21</v>
      </c>
      <c r="J370" s="5">
        <v>17020</v>
      </c>
      <c r="K370" s="5">
        <v>17810</v>
      </c>
    </row>
    <row r="371" spans="1:11" x14ac:dyDescent="0.3">
      <c r="A371" s="9" t="s">
        <v>1395</v>
      </c>
      <c r="B371" s="5" t="s">
        <v>1396</v>
      </c>
      <c r="C371" s="5">
        <v>2180</v>
      </c>
      <c r="D371" s="5">
        <v>38280950</v>
      </c>
      <c r="E371" s="5">
        <v>199960452359</v>
      </c>
      <c r="F371" s="5">
        <v>5219</v>
      </c>
      <c r="G371" s="5">
        <v>5400</v>
      </c>
      <c r="H371" s="5">
        <v>5223</v>
      </c>
      <c r="I371" s="5">
        <v>0.08</v>
      </c>
      <c r="J371" s="5">
        <v>5101</v>
      </c>
      <c r="K371" s="5">
        <v>5400</v>
      </c>
    </row>
    <row r="372" spans="1:11" x14ac:dyDescent="0.3">
      <c r="A372" s="9" t="s">
        <v>208</v>
      </c>
      <c r="B372" s="5" t="s">
        <v>207</v>
      </c>
      <c r="C372" s="5">
        <v>581</v>
      </c>
      <c r="D372" s="5">
        <v>1143576</v>
      </c>
      <c r="E372" s="5">
        <v>74861030120</v>
      </c>
      <c r="F372" s="5">
        <v>62560</v>
      </c>
      <c r="G372" s="5">
        <v>65570</v>
      </c>
      <c r="H372" s="5">
        <v>65460</v>
      </c>
      <c r="I372" s="5">
        <v>4.6399999999999997</v>
      </c>
      <c r="J372" s="5">
        <v>60980</v>
      </c>
      <c r="K372" s="5">
        <v>65680</v>
      </c>
    </row>
    <row r="373" spans="1:11" x14ac:dyDescent="0.3">
      <c r="A373" s="9" t="s">
        <v>1588</v>
      </c>
      <c r="B373" s="5" t="s">
        <v>1566</v>
      </c>
      <c r="C373" s="5">
        <v>391</v>
      </c>
      <c r="D373" s="5">
        <v>1431906</v>
      </c>
      <c r="E373" s="5">
        <v>22185912040</v>
      </c>
      <c r="F373" s="5">
        <v>14850</v>
      </c>
      <c r="G373" s="5">
        <v>15200</v>
      </c>
      <c r="H373" s="5">
        <v>15050</v>
      </c>
      <c r="I373" s="5">
        <v>1.35</v>
      </c>
      <c r="J373" s="5">
        <v>14850</v>
      </c>
      <c r="K373" s="5">
        <v>15590</v>
      </c>
    </row>
    <row r="374" spans="1:11" x14ac:dyDescent="0.3">
      <c r="A374" s="9" t="s">
        <v>176</v>
      </c>
      <c r="B374" s="5" t="s">
        <v>175</v>
      </c>
      <c r="C374" s="5">
        <v>107</v>
      </c>
      <c r="D374" s="5">
        <v>1639165</v>
      </c>
      <c r="E374" s="5">
        <v>16554001685</v>
      </c>
      <c r="F374" s="5">
        <v>10067</v>
      </c>
      <c r="G374" s="5">
        <v>10073</v>
      </c>
      <c r="H374" s="5">
        <v>10099</v>
      </c>
      <c r="I374" s="5">
        <v>0.32</v>
      </c>
      <c r="J374" s="5">
        <v>10072</v>
      </c>
      <c r="K374" s="5">
        <v>10111</v>
      </c>
    </row>
    <row r="375" spans="1:11" x14ac:dyDescent="0.3">
      <c r="A375" s="9" t="s">
        <v>657</v>
      </c>
      <c r="B375" s="5" t="s">
        <v>658</v>
      </c>
      <c r="C375" s="5">
        <v>867</v>
      </c>
      <c r="D375" s="5">
        <v>4316687</v>
      </c>
      <c r="E375" s="5">
        <v>71346942760</v>
      </c>
      <c r="F375" s="5">
        <v>16260</v>
      </c>
      <c r="G375" s="5">
        <v>17300</v>
      </c>
      <c r="H375" s="5">
        <v>16530</v>
      </c>
      <c r="I375" s="5">
        <v>1.66</v>
      </c>
      <c r="J375" s="5">
        <v>15670</v>
      </c>
      <c r="K375" s="5">
        <v>17300</v>
      </c>
    </row>
    <row r="376" spans="1:11" x14ac:dyDescent="0.3">
      <c r="A376" s="9" t="s">
        <v>293</v>
      </c>
      <c r="B376" s="5" t="s">
        <v>292</v>
      </c>
      <c r="C376" s="5">
        <v>1477</v>
      </c>
      <c r="D376" s="5">
        <v>119365605</v>
      </c>
      <c r="E376" s="5">
        <v>2057837804161</v>
      </c>
      <c r="F376" s="5">
        <v>17195</v>
      </c>
      <c r="G376" s="5">
        <v>17239</v>
      </c>
      <c r="H376" s="5">
        <v>17240</v>
      </c>
      <c r="I376" s="5">
        <v>0.26</v>
      </c>
      <c r="J376" s="5">
        <v>17238</v>
      </c>
      <c r="K376" s="5">
        <v>17241</v>
      </c>
    </row>
    <row r="377" spans="1:11" x14ac:dyDescent="0.3">
      <c r="A377" s="9" t="s">
        <v>1393</v>
      </c>
      <c r="B377" s="5" t="s">
        <v>1394</v>
      </c>
      <c r="C377" s="5">
        <v>144</v>
      </c>
      <c r="D377" s="5">
        <v>137975</v>
      </c>
      <c r="E377" s="5">
        <v>4987796250</v>
      </c>
      <c r="F377" s="5">
        <v>35800</v>
      </c>
      <c r="G377" s="5">
        <v>36150</v>
      </c>
      <c r="H377" s="5">
        <v>36150</v>
      </c>
      <c r="I377" s="5">
        <v>0.98</v>
      </c>
      <c r="J377" s="5">
        <v>36150</v>
      </c>
      <c r="K377" s="5">
        <v>36150</v>
      </c>
    </row>
    <row r="378" spans="1:11" x14ac:dyDescent="0.3">
      <c r="A378" s="9" t="s">
        <v>147</v>
      </c>
      <c r="B378" s="5" t="s">
        <v>146</v>
      </c>
      <c r="C378" s="5">
        <v>2329</v>
      </c>
      <c r="D378" s="5">
        <v>6555084</v>
      </c>
      <c r="E378" s="5">
        <v>135960959190</v>
      </c>
      <c r="F378" s="5">
        <v>20420</v>
      </c>
      <c r="G378" s="5">
        <v>21090</v>
      </c>
      <c r="H378" s="5">
        <v>20740</v>
      </c>
      <c r="I378" s="5">
        <v>1.57</v>
      </c>
      <c r="J378" s="5">
        <v>20150</v>
      </c>
      <c r="K378" s="5">
        <v>21200</v>
      </c>
    </row>
    <row r="379" spans="1:11" x14ac:dyDescent="0.3">
      <c r="A379" s="9" t="s">
        <v>483</v>
      </c>
      <c r="B379" s="5" t="s">
        <v>484</v>
      </c>
      <c r="C379" s="5">
        <v>1861</v>
      </c>
      <c r="D379" s="5">
        <v>996702</v>
      </c>
      <c r="E379" s="5">
        <v>37315240650</v>
      </c>
      <c r="F379" s="5">
        <v>35500</v>
      </c>
      <c r="G379" s="5">
        <v>37000</v>
      </c>
      <c r="H379" s="5">
        <v>37450</v>
      </c>
      <c r="I379" s="5">
        <v>5.49</v>
      </c>
      <c r="J379" s="5">
        <v>35800</v>
      </c>
      <c r="K379" s="5">
        <v>37950</v>
      </c>
    </row>
    <row r="380" spans="1:11" x14ac:dyDescent="0.3">
      <c r="A380" s="9" t="s">
        <v>386</v>
      </c>
      <c r="B380" s="5" t="s">
        <v>385</v>
      </c>
      <c r="C380" s="5">
        <v>304</v>
      </c>
      <c r="D380" s="5">
        <v>114210908</v>
      </c>
      <c r="E380" s="5">
        <v>1699906184769</v>
      </c>
      <c r="F380" s="5">
        <v>14855</v>
      </c>
      <c r="G380" s="5">
        <v>14883</v>
      </c>
      <c r="H380" s="5">
        <v>14884</v>
      </c>
      <c r="I380" s="5">
        <v>0.2</v>
      </c>
      <c r="J380" s="5">
        <v>14883</v>
      </c>
      <c r="K380" s="5">
        <v>14885</v>
      </c>
    </row>
    <row r="381" spans="1:11" x14ac:dyDescent="0.3">
      <c r="A381" s="9" t="s">
        <v>1719</v>
      </c>
      <c r="B381" s="5" t="s">
        <v>385</v>
      </c>
      <c r="C381" s="5">
        <v>5</v>
      </c>
      <c r="D381" s="5">
        <v>311434000</v>
      </c>
      <c r="E381" s="5">
        <v>4634340788000</v>
      </c>
      <c r="F381" s="5">
        <v>14855</v>
      </c>
      <c r="G381" s="5">
        <v>14882</v>
      </c>
      <c r="H381" s="5">
        <v>14881</v>
      </c>
      <c r="I381" s="5">
        <v>0.18</v>
      </c>
      <c r="J381" s="5">
        <v>14879</v>
      </c>
      <c r="K381" s="5">
        <v>14882</v>
      </c>
    </row>
    <row r="382" spans="1:11" x14ac:dyDescent="0.3">
      <c r="A382" s="9" t="s">
        <v>219</v>
      </c>
      <c r="B382" s="5" t="s">
        <v>218</v>
      </c>
      <c r="C382" s="5">
        <v>1233</v>
      </c>
      <c r="D382" s="5">
        <v>3215430</v>
      </c>
      <c r="E382" s="5">
        <v>168306662010</v>
      </c>
      <c r="F382" s="5">
        <v>51100</v>
      </c>
      <c r="G382" s="5">
        <v>52000</v>
      </c>
      <c r="H382" s="5">
        <v>52340</v>
      </c>
      <c r="I382" s="5">
        <v>2.4300000000000002</v>
      </c>
      <c r="J382" s="5">
        <v>50020</v>
      </c>
      <c r="K382" s="5">
        <v>53500</v>
      </c>
    </row>
    <row r="383" spans="1:11" x14ac:dyDescent="0.3">
      <c r="A383" s="9" t="s">
        <v>1716</v>
      </c>
      <c r="B383" s="5" t="s">
        <v>1717</v>
      </c>
      <c r="C383" s="5">
        <v>118</v>
      </c>
      <c r="D383" s="5">
        <v>3695472</v>
      </c>
      <c r="E383" s="5">
        <v>8506856544</v>
      </c>
      <c r="F383" s="5">
        <v>2235</v>
      </c>
      <c r="G383" s="5">
        <v>2302</v>
      </c>
      <c r="H383" s="5">
        <v>2263</v>
      </c>
      <c r="I383" s="5">
        <v>1.25</v>
      </c>
      <c r="J383" s="5">
        <v>2290</v>
      </c>
      <c r="K383" s="5">
        <v>2302</v>
      </c>
    </row>
    <row r="384" spans="1:11" x14ac:dyDescent="0.3">
      <c r="A384" s="9" t="s">
        <v>121</v>
      </c>
      <c r="B384" s="5" t="s">
        <v>120</v>
      </c>
      <c r="C384" s="5">
        <v>940</v>
      </c>
      <c r="D384" s="5">
        <v>1610211</v>
      </c>
      <c r="E384" s="5">
        <v>35250736510</v>
      </c>
      <c r="F384" s="5">
        <v>22165</v>
      </c>
      <c r="G384" s="5">
        <v>22003</v>
      </c>
      <c r="H384" s="5">
        <v>21892</v>
      </c>
      <c r="I384" s="5">
        <v>-1.23</v>
      </c>
      <c r="J384" s="5">
        <v>21652</v>
      </c>
      <c r="K384" s="5">
        <v>22287</v>
      </c>
    </row>
    <row r="385" spans="1:11" x14ac:dyDescent="0.3">
      <c r="A385" s="9" t="s">
        <v>375</v>
      </c>
      <c r="B385" s="5" t="s">
        <v>374</v>
      </c>
      <c r="C385" s="5">
        <v>338</v>
      </c>
      <c r="D385" s="5">
        <v>290193</v>
      </c>
      <c r="E385" s="5">
        <v>25402635660</v>
      </c>
      <c r="F385" s="5">
        <v>83800</v>
      </c>
      <c r="G385" s="5">
        <v>87980</v>
      </c>
      <c r="H385" s="5">
        <v>87540</v>
      </c>
      <c r="I385" s="5">
        <v>4.46</v>
      </c>
      <c r="J385" s="5">
        <v>86210</v>
      </c>
      <c r="K385" s="5">
        <v>87980</v>
      </c>
    </row>
    <row r="386" spans="1:11" x14ac:dyDescent="0.3">
      <c r="A386" s="9" t="s">
        <v>45</v>
      </c>
      <c r="B386" s="5" t="s">
        <v>44</v>
      </c>
      <c r="C386" s="5">
        <v>421</v>
      </c>
      <c r="D386" s="5">
        <v>1457548</v>
      </c>
      <c r="E386" s="5">
        <v>49838615630</v>
      </c>
      <c r="F386" s="5">
        <v>33350</v>
      </c>
      <c r="G386" s="5">
        <v>34950</v>
      </c>
      <c r="H386" s="5">
        <v>34190</v>
      </c>
      <c r="I386" s="5">
        <v>2.52</v>
      </c>
      <c r="J386" s="5">
        <v>33000</v>
      </c>
      <c r="K386" s="5">
        <v>35330</v>
      </c>
    </row>
    <row r="387" spans="1:11" x14ac:dyDescent="0.3">
      <c r="A387" s="9" t="s">
        <v>82</v>
      </c>
      <c r="B387" s="5" t="s">
        <v>81</v>
      </c>
      <c r="C387" s="5">
        <v>87</v>
      </c>
      <c r="D387" s="5">
        <v>2300986</v>
      </c>
      <c r="E387" s="5">
        <v>22193544209</v>
      </c>
      <c r="F387" s="5">
        <v>9448</v>
      </c>
      <c r="G387" s="5">
        <v>9568</v>
      </c>
      <c r="H387" s="5">
        <v>9645</v>
      </c>
      <c r="I387" s="5">
        <v>2.09</v>
      </c>
      <c r="J387" s="5">
        <v>9317</v>
      </c>
      <c r="K387" s="5">
        <v>9840</v>
      </c>
    </row>
    <row r="388" spans="1:11" x14ac:dyDescent="0.3">
      <c r="A388" s="9" t="s">
        <v>1828</v>
      </c>
      <c r="B388" s="5" t="s">
        <v>81</v>
      </c>
      <c r="C388" s="5">
        <v>1</v>
      </c>
      <c r="D388" s="5">
        <v>6000000</v>
      </c>
      <c r="E388" s="5">
        <v>59400000000</v>
      </c>
      <c r="F388" s="5">
        <v>9448</v>
      </c>
      <c r="G388" s="5">
        <v>9900</v>
      </c>
      <c r="H388" s="5">
        <v>9900</v>
      </c>
      <c r="I388" s="5">
        <v>4.78</v>
      </c>
      <c r="J388" s="5">
        <v>9900</v>
      </c>
      <c r="K388" s="5">
        <v>9900</v>
      </c>
    </row>
    <row r="389" spans="1:11" x14ac:dyDescent="0.3">
      <c r="A389" s="9" t="s">
        <v>1101</v>
      </c>
      <c r="B389" s="5" t="s">
        <v>1102</v>
      </c>
      <c r="C389" s="5">
        <v>1069</v>
      </c>
      <c r="D389" s="5">
        <v>2728393</v>
      </c>
      <c r="E389" s="5">
        <v>72934865150</v>
      </c>
      <c r="F389" s="5">
        <v>27150</v>
      </c>
      <c r="G389" s="5">
        <v>27400</v>
      </c>
      <c r="H389" s="5">
        <v>26750</v>
      </c>
      <c r="I389" s="5">
        <v>-1.47</v>
      </c>
      <c r="J389" s="5">
        <v>25650</v>
      </c>
      <c r="K389" s="5">
        <v>28400</v>
      </c>
    </row>
    <row r="390" spans="1:11" x14ac:dyDescent="0.3">
      <c r="A390" s="9" t="s">
        <v>243</v>
      </c>
      <c r="B390" s="5" t="s">
        <v>242</v>
      </c>
      <c r="C390" s="5">
        <v>340</v>
      </c>
      <c r="D390" s="5">
        <v>2120894</v>
      </c>
      <c r="E390" s="5">
        <v>19912357530</v>
      </c>
      <c r="F390" s="5">
        <v>9230</v>
      </c>
      <c r="G390" s="5">
        <v>9440</v>
      </c>
      <c r="H390" s="5">
        <v>9390</v>
      </c>
      <c r="I390" s="5">
        <v>1.73</v>
      </c>
      <c r="J390" s="5">
        <v>9210</v>
      </c>
      <c r="K390" s="5">
        <v>9680</v>
      </c>
    </row>
    <row r="391" spans="1:11" x14ac:dyDescent="0.3">
      <c r="A391" s="9" t="s">
        <v>1784</v>
      </c>
      <c r="B391" s="5" t="s">
        <v>1785</v>
      </c>
      <c r="C391" s="5">
        <v>158</v>
      </c>
      <c r="D391" s="5">
        <v>7007698</v>
      </c>
      <c r="E391" s="5">
        <v>59635509980</v>
      </c>
      <c r="F391" s="5">
        <v>8030</v>
      </c>
      <c r="G391" s="5">
        <v>8510</v>
      </c>
      <c r="H391" s="5">
        <v>8510</v>
      </c>
      <c r="I391" s="5">
        <v>5.98</v>
      </c>
      <c r="J391" s="5">
        <v>8510</v>
      </c>
      <c r="K391" s="5">
        <v>8510</v>
      </c>
    </row>
    <row r="392" spans="1:11" x14ac:dyDescent="0.3">
      <c r="A392" s="9" t="s">
        <v>62</v>
      </c>
      <c r="B392" s="5" t="s">
        <v>61</v>
      </c>
      <c r="C392" s="5">
        <v>1996</v>
      </c>
      <c r="D392" s="5">
        <v>4203559</v>
      </c>
      <c r="E392" s="5">
        <v>470663078350</v>
      </c>
      <c r="F392" s="5">
        <v>110030</v>
      </c>
      <c r="G392" s="5">
        <v>112300</v>
      </c>
      <c r="H392" s="5">
        <v>111970</v>
      </c>
      <c r="I392" s="5">
        <v>1.76</v>
      </c>
      <c r="J392" s="5">
        <v>106200</v>
      </c>
      <c r="K392" s="5">
        <v>112880</v>
      </c>
    </row>
    <row r="393" spans="1:11" x14ac:dyDescent="0.3">
      <c r="A393" s="9" t="s">
        <v>1403</v>
      </c>
      <c r="B393" s="5" t="s">
        <v>61</v>
      </c>
      <c r="C393" s="5">
        <v>2</v>
      </c>
      <c r="D393" s="5">
        <v>400000</v>
      </c>
      <c r="E393" s="5">
        <v>400000</v>
      </c>
      <c r="F393" s="5">
        <v>110030</v>
      </c>
      <c r="G393" s="5">
        <v>1</v>
      </c>
      <c r="H393" s="5">
        <v>1</v>
      </c>
      <c r="I393" s="5">
        <v>-100</v>
      </c>
      <c r="J393" s="5">
        <v>1</v>
      </c>
      <c r="K393" s="5">
        <v>1</v>
      </c>
    </row>
    <row r="394" spans="1:11" x14ac:dyDescent="0.3">
      <c r="A394" s="9" t="s">
        <v>339</v>
      </c>
      <c r="B394" s="5" t="s">
        <v>338</v>
      </c>
      <c r="C394" s="5">
        <v>270</v>
      </c>
      <c r="D394" s="5">
        <v>653914</v>
      </c>
      <c r="E394" s="5">
        <v>23313149130</v>
      </c>
      <c r="F394" s="5">
        <v>35960</v>
      </c>
      <c r="G394" s="5">
        <v>35000</v>
      </c>
      <c r="H394" s="5">
        <v>35650</v>
      </c>
      <c r="I394" s="5">
        <v>-0.86</v>
      </c>
      <c r="J394" s="5">
        <v>34590</v>
      </c>
      <c r="K394" s="5">
        <v>37900</v>
      </c>
    </row>
    <row r="395" spans="1:11" x14ac:dyDescent="0.3">
      <c r="A395" s="9" t="s">
        <v>653</v>
      </c>
      <c r="B395" s="5" t="s">
        <v>654</v>
      </c>
      <c r="C395" s="5">
        <v>1181</v>
      </c>
      <c r="D395" s="5">
        <v>8944770</v>
      </c>
      <c r="E395" s="5">
        <v>100867414210</v>
      </c>
      <c r="F395" s="5">
        <v>11090</v>
      </c>
      <c r="G395" s="5">
        <v>11690</v>
      </c>
      <c r="H395" s="5">
        <v>11280</v>
      </c>
      <c r="I395" s="5">
        <v>1.71</v>
      </c>
      <c r="J395" s="5">
        <v>11140</v>
      </c>
      <c r="K395" s="5">
        <v>11690</v>
      </c>
    </row>
    <row r="396" spans="1:11" x14ac:dyDescent="0.3">
      <c r="A396" s="9" t="s">
        <v>1611</v>
      </c>
      <c r="B396" s="5" t="s">
        <v>1612</v>
      </c>
      <c r="C396" s="5">
        <v>301</v>
      </c>
      <c r="D396" s="5">
        <v>477775</v>
      </c>
      <c r="E396" s="5">
        <v>83080294750</v>
      </c>
      <c r="F396" s="5">
        <v>183040</v>
      </c>
      <c r="G396" s="5">
        <v>173890</v>
      </c>
      <c r="H396" s="5">
        <v>173890</v>
      </c>
      <c r="I396" s="5">
        <v>-5</v>
      </c>
      <c r="J396" s="5">
        <v>173890</v>
      </c>
      <c r="K396" s="5">
        <v>173890</v>
      </c>
    </row>
    <row r="397" spans="1:11" x14ac:dyDescent="0.3">
      <c r="A397" s="9" t="s">
        <v>331</v>
      </c>
      <c r="B397" s="5" t="s">
        <v>330</v>
      </c>
      <c r="C397" s="5">
        <v>778</v>
      </c>
      <c r="D397" s="5">
        <v>2999842</v>
      </c>
      <c r="E397" s="5">
        <v>95396293350</v>
      </c>
      <c r="F397" s="5">
        <v>31120</v>
      </c>
      <c r="G397" s="5">
        <v>31250</v>
      </c>
      <c r="H397" s="5">
        <v>31800</v>
      </c>
      <c r="I397" s="5">
        <v>2.19</v>
      </c>
      <c r="J397" s="5">
        <v>30560</v>
      </c>
      <c r="K397" s="5">
        <v>32780</v>
      </c>
    </row>
    <row r="398" spans="1:11" x14ac:dyDescent="0.3">
      <c r="A398" s="9" t="s">
        <v>849</v>
      </c>
      <c r="B398" s="5" t="s">
        <v>850</v>
      </c>
      <c r="C398" s="5">
        <v>447</v>
      </c>
      <c r="D398" s="5">
        <v>5519715</v>
      </c>
      <c r="E398" s="5">
        <v>40353655480</v>
      </c>
      <c r="F398" s="5">
        <v>6980</v>
      </c>
      <c r="G398" s="5">
        <v>7160</v>
      </c>
      <c r="H398" s="5">
        <v>7310</v>
      </c>
      <c r="I398" s="5">
        <v>4.7300000000000004</v>
      </c>
      <c r="J398" s="5">
        <v>7160</v>
      </c>
      <c r="K398" s="5">
        <v>7320</v>
      </c>
    </row>
    <row r="399" spans="1:11" x14ac:dyDescent="0.3">
      <c r="A399" s="9" t="s">
        <v>117</v>
      </c>
      <c r="B399" s="5" t="s">
        <v>116</v>
      </c>
      <c r="C399" s="5">
        <v>225</v>
      </c>
      <c r="D399" s="5">
        <v>424867</v>
      </c>
      <c r="E399" s="5">
        <v>11998793180</v>
      </c>
      <c r="F399" s="5">
        <v>27700</v>
      </c>
      <c r="G399" s="5">
        <v>28000</v>
      </c>
      <c r="H399" s="5">
        <v>28100</v>
      </c>
      <c r="I399" s="5">
        <v>1.44</v>
      </c>
      <c r="J399" s="5">
        <v>27530</v>
      </c>
      <c r="K399" s="5">
        <v>29000</v>
      </c>
    </row>
    <row r="400" spans="1:11" x14ac:dyDescent="0.3">
      <c r="A400" s="9" t="s">
        <v>169</v>
      </c>
      <c r="B400" s="5" t="s">
        <v>168</v>
      </c>
      <c r="C400" s="5">
        <v>641</v>
      </c>
      <c r="D400" s="5">
        <v>368571</v>
      </c>
      <c r="E400" s="5">
        <v>40024862190</v>
      </c>
      <c r="F400" s="5">
        <v>113610</v>
      </c>
      <c r="G400" s="5">
        <v>113370</v>
      </c>
      <c r="H400" s="5">
        <v>108590</v>
      </c>
      <c r="I400" s="5">
        <v>-4.42</v>
      </c>
      <c r="J400" s="5">
        <v>107930</v>
      </c>
      <c r="K400" s="5">
        <v>113370</v>
      </c>
    </row>
    <row r="401" spans="1:11" x14ac:dyDescent="0.3">
      <c r="A401" s="9" t="s">
        <v>894</v>
      </c>
      <c r="B401" s="5" t="s">
        <v>895</v>
      </c>
      <c r="C401" s="5">
        <v>2076</v>
      </c>
      <c r="D401" s="5">
        <v>10961858</v>
      </c>
      <c r="E401" s="5">
        <v>355323712110</v>
      </c>
      <c r="F401" s="5">
        <v>30570</v>
      </c>
      <c r="G401" s="5">
        <v>32690</v>
      </c>
      <c r="H401" s="5">
        <v>32410</v>
      </c>
      <c r="I401" s="5">
        <v>6.02</v>
      </c>
      <c r="J401" s="5">
        <v>31100</v>
      </c>
      <c r="K401" s="5">
        <v>32700</v>
      </c>
    </row>
    <row r="402" spans="1:11" x14ac:dyDescent="0.3">
      <c r="A402" s="9" t="s">
        <v>1544</v>
      </c>
      <c r="B402" s="5" t="s">
        <v>1545</v>
      </c>
      <c r="C402" s="5">
        <v>192</v>
      </c>
      <c r="D402" s="5">
        <v>1068505</v>
      </c>
      <c r="E402" s="5">
        <v>12944012580</v>
      </c>
      <c r="F402" s="5">
        <v>12080</v>
      </c>
      <c r="G402" s="5">
        <v>12000</v>
      </c>
      <c r="H402" s="5">
        <v>12110</v>
      </c>
      <c r="I402" s="5">
        <v>0.25</v>
      </c>
      <c r="J402" s="5">
        <v>11760</v>
      </c>
      <c r="K402" s="5">
        <v>12440</v>
      </c>
    </row>
    <row r="403" spans="1:11" x14ac:dyDescent="0.3">
      <c r="A403" s="9" t="s">
        <v>373</v>
      </c>
      <c r="B403" s="5" t="s">
        <v>372</v>
      </c>
      <c r="C403" s="5">
        <v>320</v>
      </c>
      <c r="D403" s="5">
        <v>413979</v>
      </c>
      <c r="E403" s="5">
        <v>37882895720</v>
      </c>
      <c r="F403" s="5">
        <v>86910</v>
      </c>
      <c r="G403" s="5">
        <v>92990</v>
      </c>
      <c r="H403" s="5">
        <v>91510</v>
      </c>
      <c r="I403" s="5">
        <v>5.29</v>
      </c>
      <c r="J403" s="5">
        <v>87010</v>
      </c>
      <c r="K403" s="5">
        <v>92990</v>
      </c>
    </row>
    <row r="404" spans="1:11" x14ac:dyDescent="0.3">
      <c r="A404" s="9" t="s">
        <v>1659</v>
      </c>
      <c r="B404" s="5" t="s">
        <v>1660</v>
      </c>
      <c r="C404" s="5">
        <v>201</v>
      </c>
      <c r="D404" s="5">
        <v>211725</v>
      </c>
      <c r="E404" s="5">
        <v>12249772500</v>
      </c>
      <c r="F404" s="5">
        <v>56350</v>
      </c>
      <c r="G404" s="5">
        <v>57950</v>
      </c>
      <c r="H404" s="5">
        <v>57850</v>
      </c>
      <c r="I404" s="5">
        <v>2.66</v>
      </c>
      <c r="J404" s="5">
        <v>56500</v>
      </c>
      <c r="K404" s="5">
        <v>58000</v>
      </c>
    </row>
    <row r="405" spans="1:11" x14ac:dyDescent="0.3">
      <c r="A405" s="9" t="s">
        <v>702</v>
      </c>
      <c r="B405" s="5" t="s">
        <v>703</v>
      </c>
      <c r="C405" s="5">
        <v>1054</v>
      </c>
      <c r="D405" s="5">
        <v>9047583</v>
      </c>
      <c r="E405" s="5">
        <v>73560697280</v>
      </c>
      <c r="F405" s="5">
        <v>7830</v>
      </c>
      <c r="G405" s="5">
        <v>8360</v>
      </c>
      <c r="H405" s="5">
        <v>8130</v>
      </c>
      <c r="I405" s="5">
        <v>3.83</v>
      </c>
      <c r="J405" s="5">
        <v>7990</v>
      </c>
      <c r="K405" s="5">
        <v>8360</v>
      </c>
    </row>
    <row r="406" spans="1:11" x14ac:dyDescent="0.3">
      <c r="A406" s="9" t="s">
        <v>1285</v>
      </c>
      <c r="B406" s="5" t="s">
        <v>1286</v>
      </c>
      <c r="C406" s="5">
        <v>135</v>
      </c>
      <c r="D406" s="5">
        <v>29700</v>
      </c>
      <c r="E406" s="5">
        <v>90020861700</v>
      </c>
      <c r="F406" s="5">
        <v>2930924</v>
      </c>
      <c r="G406" s="5">
        <v>2935555</v>
      </c>
      <c r="H406" s="5">
        <v>3031005</v>
      </c>
      <c r="I406" s="5">
        <v>3.41</v>
      </c>
      <c r="J406" s="5">
        <v>2935555</v>
      </c>
      <c r="K406" s="5">
        <v>3070000</v>
      </c>
    </row>
    <row r="407" spans="1:11" x14ac:dyDescent="0.3">
      <c r="A407" s="9" t="s">
        <v>1320</v>
      </c>
      <c r="B407" s="5" t="s">
        <v>1321</v>
      </c>
      <c r="C407" s="5">
        <v>1076</v>
      </c>
      <c r="D407" s="5">
        <v>206900</v>
      </c>
      <c r="E407" s="5">
        <v>628879083500</v>
      </c>
      <c r="F407" s="5">
        <v>2928420</v>
      </c>
      <c r="G407" s="5">
        <v>3021000</v>
      </c>
      <c r="H407" s="5">
        <v>3039531</v>
      </c>
      <c r="I407" s="5">
        <v>3.79</v>
      </c>
      <c r="J407" s="5">
        <v>3000000</v>
      </c>
      <c r="K407" s="5">
        <v>3064000</v>
      </c>
    </row>
    <row r="408" spans="1:11" x14ac:dyDescent="0.3">
      <c r="A408" s="9" t="s">
        <v>1314</v>
      </c>
      <c r="B408" s="5" t="s">
        <v>1315</v>
      </c>
      <c r="C408" s="5">
        <v>51</v>
      </c>
      <c r="D408" s="5">
        <v>19800</v>
      </c>
      <c r="E408" s="5">
        <v>60802696800</v>
      </c>
      <c r="F408" s="5">
        <v>2931502</v>
      </c>
      <c r="G408" s="5">
        <v>3075177</v>
      </c>
      <c r="H408" s="5">
        <v>3070843</v>
      </c>
      <c r="I408" s="5">
        <v>4.75</v>
      </c>
      <c r="J408" s="5">
        <v>3020396</v>
      </c>
      <c r="K408" s="5">
        <v>3075178</v>
      </c>
    </row>
    <row r="409" spans="1:11" x14ac:dyDescent="0.3">
      <c r="A409" s="9" t="s">
        <v>1508</v>
      </c>
      <c r="B409" s="5" t="s">
        <v>1509</v>
      </c>
      <c r="C409" s="5">
        <v>5</v>
      </c>
      <c r="D409" s="5">
        <v>900</v>
      </c>
      <c r="E409" s="5">
        <v>2759672800</v>
      </c>
      <c r="F409" s="5">
        <v>2931502</v>
      </c>
      <c r="G409" s="5">
        <v>3075178</v>
      </c>
      <c r="H409" s="5">
        <v>3066303</v>
      </c>
      <c r="I409" s="5">
        <v>4.5999999999999996</v>
      </c>
      <c r="J409" s="5">
        <v>2995304</v>
      </c>
      <c r="K409" s="5">
        <v>3075178</v>
      </c>
    </row>
    <row r="410" spans="1:11" x14ac:dyDescent="0.3">
      <c r="A410" s="9" t="s">
        <v>935</v>
      </c>
      <c r="B410" s="5" t="s">
        <v>936</v>
      </c>
      <c r="C410" s="5">
        <v>78</v>
      </c>
      <c r="D410" s="5">
        <v>403627</v>
      </c>
      <c r="E410" s="5">
        <v>14274374350</v>
      </c>
      <c r="F410" s="5">
        <v>36400</v>
      </c>
      <c r="G410" s="5">
        <v>35600</v>
      </c>
      <c r="H410" s="5">
        <v>35650</v>
      </c>
      <c r="I410" s="5">
        <v>-2.06</v>
      </c>
      <c r="J410" s="5">
        <v>35350</v>
      </c>
      <c r="K410" s="5">
        <v>35600</v>
      </c>
    </row>
    <row r="411" spans="1:11" x14ac:dyDescent="0.3">
      <c r="A411" s="9" t="s">
        <v>1532</v>
      </c>
      <c r="B411" s="5" t="s">
        <v>1533</v>
      </c>
      <c r="C411" s="5">
        <v>587</v>
      </c>
      <c r="D411" s="5">
        <v>2980179</v>
      </c>
      <c r="E411" s="5">
        <v>62148167320</v>
      </c>
      <c r="F411" s="5">
        <v>19630</v>
      </c>
      <c r="G411" s="5">
        <v>21000</v>
      </c>
      <c r="H411" s="5">
        <v>20850</v>
      </c>
      <c r="I411" s="5">
        <v>6.21</v>
      </c>
      <c r="J411" s="5">
        <v>20080</v>
      </c>
      <c r="K411" s="5">
        <v>21000</v>
      </c>
    </row>
    <row r="412" spans="1:11" x14ac:dyDescent="0.3">
      <c r="A412" s="9" t="s">
        <v>91</v>
      </c>
      <c r="B412" s="5" t="s">
        <v>90</v>
      </c>
      <c r="C412" s="5">
        <v>60</v>
      </c>
      <c r="D412" s="5">
        <v>799766</v>
      </c>
      <c r="E412" s="5">
        <v>35540489900</v>
      </c>
      <c r="F412" s="5">
        <v>43200</v>
      </c>
      <c r="G412" s="5">
        <v>44200</v>
      </c>
      <c r="H412" s="5">
        <v>44450</v>
      </c>
      <c r="I412" s="5">
        <v>2.89</v>
      </c>
      <c r="J412" s="5">
        <v>44000</v>
      </c>
      <c r="K412" s="5">
        <v>44450</v>
      </c>
    </row>
    <row r="413" spans="1:11" x14ac:dyDescent="0.3">
      <c r="A413" s="9" t="s">
        <v>489</v>
      </c>
      <c r="B413" s="5" t="s">
        <v>490</v>
      </c>
      <c r="C413" s="5">
        <v>2655</v>
      </c>
      <c r="D413" s="5">
        <v>31576025</v>
      </c>
      <c r="E413" s="5">
        <v>212467249910</v>
      </c>
      <c r="F413" s="5">
        <v>6690</v>
      </c>
      <c r="G413" s="5">
        <v>6700</v>
      </c>
      <c r="H413" s="5">
        <v>6730</v>
      </c>
      <c r="I413" s="5">
        <v>0.6</v>
      </c>
      <c r="J413" s="5">
        <v>6610</v>
      </c>
      <c r="K413" s="5">
        <v>6960</v>
      </c>
    </row>
    <row r="414" spans="1:11" x14ac:dyDescent="0.3">
      <c r="A414" s="9" t="s">
        <v>1772</v>
      </c>
      <c r="B414" s="5" t="s">
        <v>490</v>
      </c>
      <c r="C414" s="5">
        <v>1</v>
      </c>
      <c r="D414" s="5">
        <v>50000000</v>
      </c>
      <c r="E414" s="5">
        <v>330000000000</v>
      </c>
      <c r="F414" s="5">
        <v>6690</v>
      </c>
      <c r="G414" s="5">
        <v>6600</v>
      </c>
      <c r="H414" s="5">
        <v>6600</v>
      </c>
      <c r="I414" s="5">
        <v>-1.35</v>
      </c>
      <c r="J414" s="5">
        <v>6600</v>
      </c>
      <c r="K414" s="5">
        <v>6600</v>
      </c>
    </row>
    <row r="415" spans="1:11" x14ac:dyDescent="0.3">
      <c r="A415" s="9" t="s">
        <v>1769</v>
      </c>
      <c r="B415" s="5" t="s">
        <v>1770</v>
      </c>
      <c r="C415" s="5">
        <v>283</v>
      </c>
      <c r="D415" s="5">
        <v>4769369</v>
      </c>
      <c r="E415" s="5">
        <v>45011080930</v>
      </c>
      <c r="F415" s="5">
        <v>9170</v>
      </c>
      <c r="G415" s="5">
        <v>9440</v>
      </c>
      <c r="H415" s="5">
        <v>9440</v>
      </c>
      <c r="I415" s="5">
        <v>2.94</v>
      </c>
      <c r="J415" s="5">
        <v>9300</v>
      </c>
      <c r="K415" s="5">
        <v>9440</v>
      </c>
    </row>
    <row r="416" spans="1:11" x14ac:dyDescent="0.3">
      <c r="A416" s="9" t="s">
        <v>320</v>
      </c>
      <c r="B416" s="5" t="s">
        <v>319</v>
      </c>
      <c r="C416" s="5">
        <v>791</v>
      </c>
      <c r="D416" s="5">
        <v>1150229</v>
      </c>
      <c r="E416" s="5">
        <v>42540750790</v>
      </c>
      <c r="F416" s="5">
        <v>35670</v>
      </c>
      <c r="G416" s="5">
        <v>37450</v>
      </c>
      <c r="H416" s="5">
        <v>36980</v>
      </c>
      <c r="I416" s="5">
        <v>3.67</v>
      </c>
      <c r="J416" s="5">
        <v>36000</v>
      </c>
      <c r="K416" s="5">
        <v>37450</v>
      </c>
    </row>
    <row r="417" spans="1:11" x14ac:dyDescent="0.3">
      <c r="A417" s="9" t="s">
        <v>1181</v>
      </c>
      <c r="B417" s="5" t="s">
        <v>1182</v>
      </c>
      <c r="C417" s="5">
        <v>329</v>
      </c>
      <c r="D417" s="5">
        <v>1331033</v>
      </c>
      <c r="E417" s="5">
        <v>25501439220</v>
      </c>
      <c r="F417" s="5">
        <v>18990</v>
      </c>
      <c r="G417" s="5">
        <v>19200</v>
      </c>
      <c r="H417" s="5">
        <v>19160</v>
      </c>
      <c r="I417" s="5">
        <v>0.9</v>
      </c>
      <c r="J417" s="5">
        <v>18900</v>
      </c>
      <c r="K417" s="5">
        <v>19520</v>
      </c>
    </row>
    <row r="418" spans="1:11" x14ac:dyDescent="0.3">
      <c r="A418" s="9" t="s">
        <v>1095</v>
      </c>
      <c r="B418" s="5" t="s">
        <v>1096</v>
      </c>
      <c r="C418" s="5">
        <v>2221</v>
      </c>
      <c r="D418" s="5">
        <v>9202867</v>
      </c>
      <c r="E418" s="5">
        <v>131102878850</v>
      </c>
      <c r="F418" s="5">
        <v>13580</v>
      </c>
      <c r="G418" s="5">
        <v>14250</v>
      </c>
      <c r="H418" s="5">
        <v>14250</v>
      </c>
      <c r="I418" s="5">
        <v>4.93</v>
      </c>
      <c r="J418" s="5">
        <v>13780</v>
      </c>
      <c r="K418" s="5">
        <v>14250</v>
      </c>
    </row>
    <row r="419" spans="1:11" x14ac:dyDescent="0.3">
      <c r="A419" s="9" t="s">
        <v>182</v>
      </c>
      <c r="B419" s="5" t="s">
        <v>181</v>
      </c>
      <c r="C419" s="5">
        <v>486</v>
      </c>
      <c r="D419" s="5">
        <v>4171730</v>
      </c>
      <c r="E419" s="5">
        <v>55166495010</v>
      </c>
      <c r="F419" s="5">
        <v>13390</v>
      </c>
      <c r="G419" s="5">
        <v>13390</v>
      </c>
      <c r="H419" s="5">
        <v>13220</v>
      </c>
      <c r="I419" s="5">
        <v>-1.27</v>
      </c>
      <c r="J419" s="5">
        <v>13000</v>
      </c>
      <c r="K419" s="5">
        <v>13750</v>
      </c>
    </row>
    <row r="420" spans="1:11" x14ac:dyDescent="0.3">
      <c r="A420" s="9" t="s">
        <v>1896</v>
      </c>
      <c r="B420" s="5" t="s">
        <v>181</v>
      </c>
      <c r="C420" s="5">
        <v>1</v>
      </c>
      <c r="D420" s="5">
        <v>2400000</v>
      </c>
      <c r="E420" s="5">
        <v>32136000000</v>
      </c>
      <c r="F420" s="5">
        <v>13390</v>
      </c>
      <c r="G420" s="5">
        <v>13390</v>
      </c>
      <c r="H420" s="5">
        <v>13390</v>
      </c>
      <c r="I420" s="5">
        <v>0</v>
      </c>
      <c r="J420" s="5">
        <v>13390</v>
      </c>
      <c r="K420" s="5">
        <v>13390</v>
      </c>
    </row>
    <row r="421" spans="1:11" x14ac:dyDescent="0.3">
      <c r="A421" s="9" t="s">
        <v>314</v>
      </c>
      <c r="B421" s="5" t="s">
        <v>313</v>
      </c>
      <c r="C421" s="5">
        <v>370</v>
      </c>
      <c r="D421" s="5">
        <v>3036604</v>
      </c>
      <c r="E421" s="5">
        <v>46254768280</v>
      </c>
      <c r="F421" s="5">
        <v>15210</v>
      </c>
      <c r="G421" s="5">
        <v>15970</v>
      </c>
      <c r="H421" s="5">
        <v>15230</v>
      </c>
      <c r="I421" s="5">
        <v>0.13</v>
      </c>
      <c r="J421" s="5">
        <v>15040</v>
      </c>
      <c r="K421" s="5">
        <v>15970</v>
      </c>
    </row>
    <row r="422" spans="1:11" x14ac:dyDescent="0.3">
      <c r="A422" s="9" t="s">
        <v>235</v>
      </c>
      <c r="B422" s="5" t="s">
        <v>235</v>
      </c>
      <c r="C422" s="5">
        <v>850</v>
      </c>
      <c r="D422" s="5">
        <v>1972292</v>
      </c>
      <c r="E422" s="5">
        <v>53321994220</v>
      </c>
      <c r="F422" s="5">
        <v>26180</v>
      </c>
      <c r="G422" s="5">
        <v>27800</v>
      </c>
      <c r="H422" s="5">
        <v>27040</v>
      </c>
      <c r="I422" s="5">
        <v>3.28</v>
      </c>
      <c r="J422" s="5">
        <v>26280</v>
      </c>
      <c r="K422" s="5">
        <v>27800</v>
      </c>
    </row>
    <row r="423" spans="1:11" x14ac:dyDescent="0.3">
      <c r="A423" s="9" t="s">
        <v>210</v>
      </c>
      <c r="B423" s="5" t="s">
        <v>209</v>
      </c>
      <c r="C423" s="5">
        <v>35</v>
      </c>
      <c r="D423" s="5">
        <v>12564284</v>
      </c>
      <c r="E423" s="5">
        <v>127904930155</v>
      </c>
      <c r="F423" s="5">
        <v>10167</v>
      </c>
      <c r="G423" s="5">
        <v>10189</v>
      </c>
      <c r="H423" s="5">
        <v>10180</v>
      </c>
      <c r="I423" s="5">
        <v>0.13</v>
      </c>
      <c r="J423" s="5">
        <v>10177</v>
      </c>
      <c r="K423" s="5">
        <v>10191</v>
      </c>
    </row>
    <row r="424" spans="1:11" x14ac:dyDescent="0.3">
      <c r="A424" s="9" t="s">
        <v>353</v>
      </c>
      <c r="B424" s="5" t="s">
        <v>352</v>
      </c>
      <c r="C424" s="5">
        <v>1336</v>
      </c>
      <c r="D424" s="5">
        <v>3920627</v>
      </c>
      <c r="E424" s="5">
        <v>148356554630</v>
      </c>
      <c r="F424" s="5">
        <v>36220</v>
      </c>
      <c r="G424" s="5">
        <v>36700</v>
      </c>
      <c r="H424" s="5">
        <v>37840</v>
      </c>
      <c r="I424" s="5">
        <v>4.47</v>
      </c>
      <c r="J424" s="5">
        <v>36560</v>
      </c>
      <c r="K424" s="5">
        <v>38750</v>
      </c>
    </row>
    <row r="425" spans="1:11" x14ac:dyDescent="0.3">
      <c r="A425" s="9" t="s">
        <v>1015</v>
      </c>
      <c r="B425" s="5" t="s">
        <v>1016</v>
      </c>
      <c r="C425" s="5">
        <v>2432</v>
      </c>
      <c r="D425" s="5">
        <v>3563217</v>
      </c>
      <c r="E425" s="5">
        <v>101446733150</v>
      </c>
      <c r="F425" s="5">
        <v>27600</v>
      </c>
      <c r="G425" s="5">
        <v>28900</v>
      </c>
      <c r="H425" s="5">
        <v>28450</v>
      </c>
      <c r="I425" s="5">
        <v>3.08</v>
      </c>
      <c r="J425" s="5">
        <v>27850</v>
      </c>
      <c r="K425" s="5">
        <v>28900</v>
      </c>
    </row>
    <row r="426" spans="1:11" x14ac:dyDescent="0.3">
      <c r="A426" s="9" t="s">
        <v>1017</v>
      </c>
      <c r="B426" s="5" t="s">
        <v>1018</v>
      </c>
      <c r="C426" s="5">
        <v>628</v>
      </c>
      <c r="D426" s="5">
        <v>14969747</v>
      </c>
      <c r="E426" s="5">
        <v>210171427880</v>
      </c>
      <c r="F426" s="5">
        <v>13380</v>
      </c>
      <c r="G426" s="5">
        <v>14040</v>
      </c>
      <c r="H426" s="5">
        <v>14040</v>
      </c>
      <c r="I426" s="5">
        <v>4.93</v>
      </c>
      <c r="J426" s="5">
        <v>14000</v>
      </c>
      <c r="K426" s="5">
        <v>14040</v>
      </c>
    </row>
    <row r="427" spans="1:11" x14ac:dyDescent="0.3">
      <c r="A427" s="9" t="s">
        <v>531</v>
      </c>
      <c r="B427" s="5" t="s">
        <v>532</v>
      </c>
      <c r="C427" s="5">
        <v>1223</v>
      </c>
      <c r="D427" s="5">
        <v>7235427</v>
      </c>
      <c r="E427" s="5">
        <v>172266747850</v>
      </c>
      <c r="F427" s="5">
        <v>23550</v>
      </c>
      <c r="G427" s="5">
        <v>24000</v>
      </c>
      <c r="H427" s="5">
        <v>23800</v>
      </c>
      <c r="I427" s="5">
        <v>1.06</v>
      </c>
      <c r="J427" s="5">
        <v>23550</v>
      </c>
      <c r="K427" s="5">
        <v>24000</v>
      </c>
    </row>
    <row r="428" spans="1:11" x14ac:dyDescent="0.3">
      <c r="A428" s="9" t="s">
        <v>436</v>
      </c>
      <c r="B428" s="5" t="s">
        <v>437</v>
      </c>
      <c r="C428" s="5">
        <v>2204</v>
      </c>
      <c r="D428" s="5">
        <v>8780066</v>
      </c>
      <c r="E428" s="5">
        <v>144112590500</v>
      </c>
      <c r="F428" s="5">
        <v>16240</v>
      </c>
      <c r="G428" s="5">
        <v>16550</v>
      </c>
      <c r="H428" s="5">
        <v>16410</v>
      </c>
      <c r="I428" s="5">
        <v>1.05</v>
      </c>
      <c r="J428" s="5">
        <v>16150</v>
      </c>
      <c r="K428" s="5">
        <v>16790</v>
      </c>
    </row>
    <row r="429" spans="1:11" x14ac:dyDescent="0.3">
      <c r="A429" s="9" t="s">
        <v>12</v>
      </c>
      <c r="B429" s="5" t="s">
        <v>549</v>
      </c>
      <c r="C429" s="5">
        <v>8855</v>
      </c>
      <c r="D429" s="5">
        <v>86673506</v>
      </c>
      <c r="E429" s="5">
        <v>959035762940</v>
      </c>
      <c r="F429" s="5">
        <v>10840</v>
      </c>
      <c r="G429" s="5">
        <v>11390</v>
      </c>
      <c r="H429" s="5">
        <v>11060</v>
      </c>
      <c r="I429" s="5">
        <v>2.0299999999999998</v>
      </c>
      <c r="J429" s="5">
        <v>10840</v>
      </c>
      <c r="K429" s="5">
        <v>11390</v>
      </c>
    </row>
    <row r="430" spans="1:11" x14ac:dyDescent="0.3">
      <c r="A430" s="9" t="s">
        <v>1622</v>
      </c>
      <c r="B430" s="5" t="s">
        <v>549</v>
      </c>
      <c r="C430" s="5">
        <v>1</v>
      </c>
      <c r="D430" s="5">
        <v>15000000</v>
      </c>
      <c r="E430" s="5">
        <v>165000000000</v>
      </c>
      <c r="F430" s="5">
        <v>10840</v>
      </c>
      <c r="G430" s="5">
        <v>11000</v>
      </c>
      <c r="H430" s="5">
        <v>11000</v>
      </c>
      <c r="I430" s="5">
        <v>1.48</v>
      </c>
      <c r="J430" s="5">
        <v>11000</v>
      </c>
      <c r="K430" s="5">
        <v>11000</v>
      </c>
    </row>
    <row r="431" spans="1:11" x14ac:dyDescent="0.3">
      <c r="A431" s="9" t="s">
        <v>266</v>
      </c>
      <c r="B431" s="5" t="s">
        <v>265</v>
      </c>
      <c r="C431" s="5">
        <v>880</v>
      </c>
      <c r="D431" s="5">
        <v>2295283</v>
      </c>
      <c r="E431" s="5">
        <v>58796961650</v>
      </c>
      <c r="F431" s="5">
        <v>24440</v>
      </c>
      <c r="G431" s="5">
        <v>24720</v>
      </c>
      <c r="H431" s="5">
        <v>25060</v>
      </c>
      <c r="I431" s="5">
        <v>2.54</v>
      </c>
      <c r="J431" s="5">
        <v>24720</v>
      </c>
      <c r="K431" s="5">
        <v>26000</v>
      </c>
    </row>
    <row r="432" spans="1:11" x14ac:dyDescent="0.3">
      <c r="A432" s="9" t="s">
        <v>1091</v>
      </c>
      <c r="B432" s="5" t="s">
        <v>1092</v>
      </c>
      <c r="C432" s="5">
        <v>982</v>
      </c>
      <c r="D432" s="5">
        <v>7352802</v>
      </c>
      <c r="E432" s="5">
        <v>50900771580</v>
      </c>
      <c r="F432" s="5">
        <v>7130</v>
      </c>
      <c r="G432" s="5">
        <v>7200</v>
      </c>
      <c r="H432" s="5">
        <v>6920</v>
      </c>
      <c r="I432" s="5">
        <v>-2.95</v>
      </c>
      <c r="J432" s="5">
        <v>6780</v>
      </c>
      <c r="K432" s="5">
        <v>7200</v>
      </c>
    </row>
    <row r="433" spans="1:11" x14ac:dyDescent="0.3">
      <c r="A433" s="9" t="s">
        <v>191</v>
      </c>
      <c r="B433" s="5" t="s">
        <v>190</v>
      </c>
      <c r="C433" s="5">
        <v>309</v>
      </c>
      <c r="D433" s="5">
        <v>2308134</v>
      </c>
      <c r="E433" s="5">
        <v>50661540600</v>
      </c>
      <c r="F433" s="5">
        <v>20910</v>
      </c>
      <c r="G433" s="5">
        <v>21950</v>
      </c>
      <c r="H433" s="5">
        <v>21950</v>
      </c>
      <c r="I433" s="5">
        <v>4.97</v>
      </c>
      <c r="J433" s="5">
        <v>21830</v>
      </c>
      <c r="K433" s="5">
        <v>21950</v>
      </c>
    </row>
    <row r="434" spans="1:11" x14ac:dyDescent="0.3">
      <c r="A434" s="9" t="s">
        <v>859</v>
      </c>
      <c r="B434" s="5" t="s">
        <v>860</v>
      </c>
      <c r="C434" s="5">
        <v>742</v>
      </c>
      <c r="D434" s="5">
        <v>16528070</v>
      </c>
      <c r="E434" s="5">
        <v>34636654383</v>
      </c>
      <c r="F434" s="5">
        <v>2079</v>
      </c>
      <c r="G434" s="5">
        <v>2099</v>
      </c>
      <c r="H434" s="5">
        <v>2096</v>
      </c>
      <c r="I434" s="5">
        <v>0.82</v>
      </c>
      <c r="J434" s="5">
        <v>2043</v>
      </c>
      <c r="K434" s="5">
        <v>2130</v>
      </c>
    </row>
    <row r="435" spans="1:11" x14ac:dyDescent="0.3">
      <c r="A435" s="9" t="s">
        <v>650</v>
      </c>
      <c r="B435" s="5" t="s">
        <v>651</v>
      </c>
      <c r="C435" s="5">
        <v>762</v>
      </c>
      <c r="D435" s="5">
        <v>30218136</v>
      </c>
      <c r="E435" s="5">
        <v>53618977835</v>
      </c>
      <c r="F435" s="5">
        <v>1752</v>
      </c>
      <c r="G435" s="5">
        <v>1777</v>
      </c>
      <c r="H435" s="5">
        <v>1774</v>
      </c>
      <c r="I435" s="5">
        <v>1.26</v>
      </c>
      <c r="J435" s="5">
        <v>1750</v>
      </c>
      <c r="K435" s="5">
        <v>1799</v>
      </c>
    </row>
    <row r="436" spans="1:11" x14ac:dyDescent="0.3">
      <c r="A436" s="9" t="s">
        <v>1360</v>
      </c>
      <c r="B436" s="5" t="s">
        <v>1361</v>
      </c>
      <c r="C436" s="5">
        <v>3459</v>
      </c>
      <c r="D436" s="5">
        <v>3293267</v>
      </c>
      <c r="E436" s="5">
        <v>558503599200</v>
      </c>
      <c r="F436" s="5">
        <v>167880</v>
      </c>
      <c r="G436" s="5">
        <v>170100</v>
      </c>
      <c r="H436" s="5">
        <v>169590</v>
      </c>
      <c r="I436" s="5">
        <v>1.02</v>
      </c>
      <c r="J436" s="5">
        <v>167910</v>
      </c>
      <c r="K436" s="5">
        <v>172180</v>
      </c>
    </row>
    <row r="437" spans="1:11" x14ac:dyDescent="0.3">
      <c r="A437" s="9" t="s">
        <v>744</v>
      </c>
      <c r="B437" s="5" t="s">
        <v>745</v>
      </c>
      <c r="C437" s="5">
        <v>2197</v>
      </c>
      <c r="D437" s="5">
        <v>30621052</v>
      </c>
      <c r="E437" s="5">
        <v>302027586390</v>
      </c>
      <c r="F437" s="5">
        <v>10080</v>
      </c>
      <c r="G437" s="5">
        <v>10140</v>
      </c>
      <c r="H437" s="5">
        <v>9860</v>
      </c>
      <c r="I437" s="5">
        <v>-2.1800000000000002</v>
      </c>
      <c r="J437" s="5">
        <v>9780</v>
      </c>
      <c r="K437" s="5">
        <v>10230</v>
      </c>
    </row>
    <row r="438" spans="1:11" x14ac:dyDescent="0.3">
      <c r="A438" s="9" t="s">
        <v>1735</v>
      </c>
      <c r="B438" s="5" t="s">
        <v>1704</v>
      </c>
      <c r="C438" s="5">
        <v>13446</v>
      </c>
      <c r="D438" s="5">
        <v>179566003</v>
      </c>
      <c r="E438" s="5">
        <v>1476288950300</v>
      </c>
      <c r="F438" s="5">
        <v>8050</v>
      </c>
      <c r="G438" s="5">
        <v>8400</v>
      </c>
      <c r="H438" s="5">
        <v>8220</v>
      </c>
      <c r="I438" s="5">
        <v>2.11</v>
      </c>
      <c r="J438" s="5">
        <v>8100</v>
      </c>
      <c r="K438" s="5">
        <v>8400</v>
      </c>
    </row>
    <row r="439" spans="1:11" x14ac:dyDescent="0.3">
      <c r="A439" s="9" t="s">
        <v>618</v>
      </c>
      <c r="B439" s="5" t="s">
        <v>619</v>
      </c>
      <c r="C439" s="5">
        <v>13348</v>
      </c>
      <c r="D439" s="5">
        <v>329399996</v>
      </c>
      <c r="E439" s="5">
        <v>1513590472371</v>
      </c>
      <c r="F439" s="5">
        <v>4591</v>
      </c>
      <c r="G439" s="5">
        <v>4680</v>
      </c>
      <c r="H439" s="5">
        <v>4595</v>
      </c>
      <c r="I439" s="5">
        <v>0.09</v>
      </c>
      <c r="J439" s="5">
        <v>4525</v>
      </c>
      <c r="K439" s="5">
        <v>4709</v>
      </c>
    </row>
    <row r="440" spans="1:11" x14ac:dyDescent="0.3">
      <c r="A440" s="9" t="s">
        <v>1605</v>
      </c>
      <c r="B440" s="5" t="s">
        <v>1606</v>
      </c>
      <c r="C440" s="5">
        <v>480</v>
      </c>
      <c r="D440" s="5">
        <v>847425</v>
      </c>
      <c r="E440" s="5">
        <v>51181603210</v>
      </c>
      <c r="F440" s="5">
        <v>60360</v>
      </c>
      <c r="G440" s="5">
        <v>63000</v>
      </c>
      <c r="H440" s="5">
        <v>60380</v>
      </c>
      <c r="I440" s="5">
        <v>0.03</v>
      </c>
      <c r="J440" s="5">
        <v>58020</v>
      </c>
      <c r="K440" s="5">
        <v>63000</v>
      </c>
    </row>
    <row r="441" spans="1:11" x14ac:dyDescent="0.3">
      <c r="A441" s="9" t="s">
        <v>454</v>
      </c>
      <c r="B441" s="5" t="s">
        <v>455</v>
      </c>
      <c r="C441" s="5">
        <v>850</v>
      </c>
      <c r="D441" s="5">
        <v>3045373</v>
      </c>
      <c r="E441" s="5">
        <v>47989440450</v>
      </c>
      <c r="F441" s="5">
        <v>15760</v>
      </c>
      <c r="G441" s="5">
        <v>15900</v>
      </c>
      <c r="H441" s="5">
        <v>15760</v>
      </c>
      <c r="I441" s="5">
        <v>0</v>
      </c>
      <c r="J441" s="5">
        <v>15560</v>
      </c>
      <c r="K441" s="5">
        <v>16020</v>
      </c>
    </row>
    <row r="442" spans="1:11" x14ac:dyDescent="0.3">
      <c r="A442" s="9" t="s">
        <v>153</v>
      </c>
      <c r="B442" s="5" t="s">
        <v>152</v>
      </c>
      <c r="C442" s="5">
        <v>308</v>
      </c>
      <c r="D442" s="5">
        <v>377254</v>
      </c>
      <c r="E442" s="5">
        <v>30620774150</v>
      </c>
      <c r="F442" s="5">
        <v>80150</v>
      </c>
      <c r="G442" s="5">
        <v>80550</v>
      </c>
      <c r="H442" s="5">
        <v>80650</v>
      </c>
      <c r="I442" s="5">
        <v>0.62</v>
      </c>
      <c r="J442" s="5">
        <v>79100</v>
      </c>
      <c r="K442" s="5">
        <v>82950</v>
      </c>
    </row>
    <row r="443" spans="1:11" x14ac:dyDescent="0.3">
      <c r="A443" s="9" t="s">
        <v>521</v>
      </c>
      <c r="B443" s="5" t="s">
        <v>522</v>
      </c>
      <c r="C443" s="5">
        <v>279</v>
      </c>
      <c r="D443" s="5">
        <v>663517</v>
      </c>
      <c r="E443" s="5">
        <v>27015655550</v>
      </c>
      <c r="F443" s="5">
        <v>40250</v>
      </c>
      <c r="G443" s="5">
        <v>40900</v>
      </c>
      <c r="H443" s="5">
        <v>40700</v>
      </c>
      <c r="I443" s="5">
        <v>1.1200000000000001</v>
      </c>
      <c r="J443" s="5">
        <v>39900</v>
      </c>
      <c r="K443" s="5">
        <v>41450</v>
      </c>
    </row>
    <row r="444" spans="1:11" x14ac:dyDescent="0.3">
      <c r="A444" s="9" t="s">
        <v>1079</v>
      </c>
      <c r="B444" s="5" t="s">
        <v>1080</v>
      </c>
      <c r="C444" s="5">
        <v>271</v>
      </c>
      <c r="D444" s="5">
        <v>220593</v>
      </c>
      <c r="E444" s="5">
        <v>19910248950</v>
      </c>
      <c r="F444" s="5">
        <v>91300</v>
      </c>
      <c r="G444" s="5">
        <v>91050</v>
      </c>
      <c r="H444" s="5">
        <v>90300</v>
      </c>
      <c r="I444" s="5">
        <v>-1.1000000000000001</v>
      </c>
      <c r="J444" s="5">
        <v>89050</v>
      </c>
      <c r="K444" s="5">
        <v>91950</v>
      </c>
    </row>
    <row r="445" spans="1:11" x14ac:dyDescent="0.3">
      <c r="A445" s="9" t="s">
        <v>459</v>
      </c>
      <c r="B445" s="5" t="s">
        <v>460</v>
      </c>
      <c r="C445" s="5">
        <v>133</v>
      </c>
      <c r="D445" s="5">
        <v>577526</v>
      </c>
      <c r="E445" s="5">
        <v>21673790100</v>
      </c>
      <c r="F445" s="5">
        <v>36600</v>
      </c>
      <c r="G445" s="5">
        <v>37550</v>
      </c>
      <c r="H445" s="5">
        <v>37150</v>
      </c>
      <c r="I445" s="5">
        <v>1.5</v>
      </c>
      <c r="J445" s="5">
        <v>37000</v>
      </c>
      <c r="K445" s="5">
        <v>37650</v>
      </c>
    </row>
    <row r="446" spans="1:11" x14ac:dyDescent="0.3">
      <c r="A446" s="9" t="s">
        <v>708</v>
      </c>
      <c r="B446" s="5" t="s">
        <v>709</v>
      </c>
      <c r="C446" s="5">
        <v>1181</v>
      </c>
      <c r="D446" s="5">
        <v>26734283</v>
      </c>
      <c r="E446" s="5">
        <v>144344495861</v>
      </c>
      <c r="F446" s="5">
        <v>5239</v>
      </c>
      <c r="G446" s="5">
        <v>5420</v>
      </c>
      <c r="H446" s="5">
        <v>5399</v>
      </c>
      <c r="I446" s="5">
        <v>3.05</v>
      </c>
      <c r="J446" s="5">
        <v>5285</v>
      </c>
      <c r="K446" s="5">
        <v>5476</v>
      </c>
    </row>
    <row r="447" spans="1:11" x14ac:dyDescent="0.3">
      <c r="A447" s="9" t="s">
        <v>13</v>
      </c>
      <c r="B447" s="5" t="s">
        <v>583</v>
      </c>
      <c r="C447" s="5">
        <v>24117</v>
      </c>
      <c r="D447" s="5">
        <v>1473289796</v>
      </c>
      <c r="E447" s="5">
        <v>1906619305873</v>
      </c>
      <c r="F447" s="5">
        <v>1269</v>
      </c>
      <c r="G447" s="5">
        <v>1302</v>
      </c>
      <c r="H447" s="5">
        <v>1294</v>
      </c>
      <c r="I447" s="5">
        <v>1.97</v>
      </c>
      <c r="J447" s="5">
        <v>1255</v>
      </c>
      <c r="K447" s="5">
        <v>1323</v>
      </c>
    </row>
    <row r="448" spans="1:11" x14ac:dyDescent="0.3">
      <c r="A448" s="9" t="s">
        <v>1815</v>
      </c>
      <c r="B448" s="5" t="s">
        <v>583</v>
      </c>
      <c r="C448" s="5">
        <v>5</v>
      </c>
      <c r="D448" s="5">
        <v>2818612604</v>
      </c>
      <c r="E448" s="5">
        <v>3720568637280</v>
      </c>
      <c r="F448" s="5">
        <v>1269</v>
      </c>
      <c r="G448" s="5">
        <v>1320</v>
      </c>
      <c r="H448" s="5">
        <v>1320</v>
      </c>
      <c r="I448" s="5">
        <v>4.0199999999999996</v>
      </c>
      <c r="J448" s="5">
        <v>1320</v>
      </c>
      <c r="K448" s="5">
        <v>1320</v>
      </c>
    </row>
    <row r="449" spans="1:11" x14ac:dyDescent="0.3">
      <c r="A449" s="9" t="s">
        <v>1414</v>
      </c>
      <c r="B449" s="5" t="s">
        <v>1415</v>
      </c>
      <c r="C449" s="5">
        <v>1</v>
      </c>
      <c r="D449" s="5">
        <v>175</v>
      </c>
      <c r="E449" s="5">
        <v>50942500</v>
      </c>
      <c r="F449" s="5">
        <v>297000</v>
      </c>
      <c r="G449" s="5">
        <v>291100</v>
      </c>
      <c r="H449" s="5">
        <v>291100</v>
      </c>
      <c r="I449" s="5">
        <v>-1.99</v>
      </c>
      <c r="J449" s="5">
        <v>291100</v>
      </c>
      <c r="K449" s="5">
        <v>291100</v>
      </c>
    </row>
    <row r="450" spans="1:11" x14ac:dyDescent="0.3">
      <c r="A450" s="9" t="s">
        <v>217</v>
      </c>
      <c r="B450" s="5" t="s">
        <v>216</v>
      </c>
      <c r="C450" s="5">
        <v>1351</v>
      </c>
      <c r="D450" s="5">
        <v>36877953</v>
      </c>
      <c r="E450" s="5">
        <v>84926533261</v>
      </c>
      <c r="F450" s="5">
        <v>2302</v>
      </c>
      <c r="G450" s="5">
        <v>2390</v>
      </c>
      <c r="H450" s="5">
        <v>2303</v>
      </c>
      <c r="I450" s="5">
        <v>0.04</v>
      </c>
      <c r="J450" s="5">
        <v>2236</v>
      </c>
      <c r="K450" s="5">
        <v>2390</v>
      </c>
    </row>
    <row r="451" spans="1:11" x14ac:dyDescent="0.3">
      <c r="A451" s="9" t="s">
        <v>479</v>
      </c>
      <c r="B451" s="5" t="s">
        <v>480</v>
      </c>
      <c r="C451" s="5">
        <v>837</v>
      </c>
      <c r="D451" s="5">
        <v>1115945</v>
      </c>
      <c r="E451" s="5">
        <v>43199819100</v>
      </c>
      <c r="F451" s="5">
        <v>37500</v>
      </c>
      <c r="G451" s="5">
        <v>39500</v>
      </c>
      <c r="H451" s="5">
        <v>38700</v>
      </c>
      <c r="I451" s="5">
        <v>3.2</v>
      </c>
      <c r="J451" s="5">
        <v>38000</v>
      </c>
      <c r="K451" s="5">
        <v>39500</v>
      </c>
    </row>
    <row r="452" spans="1:11" x14ac:dyDescent="0.3">
      <c r="A452" s="9" t="s">
        <v>975</v>
      </c>
      <c r="B452" s="5" t="s">
        <v>976</v>
      </c>
      <c r="C452" s="5">
        <v>315</v>
      </c>
      <c r="D452" s="5">
        <v>690912</v>
      </c>
      <c r="E452" s="5">
        <v>125528448650</v>
      </c>
      <c r="F452" s="5">
        <v>180100</v>
      </c>
      <c r="G452" s="5">
        <v>180750</v>
      </c>
      <c r="H452" s="5">
        <v>181700</v>
      </c>
      <c r="I452" s="5">
        <v>0.89</v>
      </c>
      <c r="J452" s="5">
        <v>177000</v>
      </c>
      <c r="K452" s="5">
        <v>183700</v>
      </c>
    </row>
    <row r="453" spans="1:11" x14ac:dyDescent="0.3">
      <c r="A453" s="9" t="s">
        <v>778</v>
      </c>
      <c r="B453" s="5" t="s">
        <v>779</v>
      </c>
      <c r="C453" s="5">
        <v>900</v>
      </c>
      <c r="D453" s="5">
        <v>1086200</v>
      </c>
      <c r="E453" s="5">
        <v>96233253550</v>
      </c>
      <c r="F453" s="5">
        <v>87970</v>
      </c>
      <c r="G453" s="5">
        <v>89970</v>
      </c>
      <c r="H453" s="5">
        <v>88600</v>
      </c>
      <c r="I453" s="5">
        <v>0.72</v>
      </c>
      <c r="J453" s="5">
        <v>88050</v>
      </c>
      <c r="K453" s="5">
        <v>89970</v>
      </c>
    </row>
    <row r="454" spans="1:11" x14ac:dyDescent="0.3">
      <c r="A454" s="9" t="s">
        <v>1906</v>
      </c>
      <c r="B454" s="5" t="s">
        <v>779</v>
      </c>
      <c r="C454" s="5">
        <v>1</v>
      </c>
      <c r="D454" s="5">
        <v>2000000</v>
      </c>
      <c r="E454" s="5">
        <v>174000000000</v>
      </c>
      <c r="F454" s="5">
        <v>87970</v>
      </c>
      <c r="G454" s="5">
        <v>87000</v>
      </c>
      <c r="H454" s="5">
        <v>87000</v>
      </c>
      <c r="I454" s="5">
        <v>-1.1000000000000001</v>
      </c>
      <c r="J454" s="5">
        <v>87000</v>
      </c>
      <c r="K454" s="5">
        <v>87000</v>
      </c>
    </row>
    <row r="455" spans="1:11" x14ac:dyDescent="0.3">
      <c r="A455" s="9" t="s">
        <v>187</v>
      </c>
      <c r="B455" s="5" t="s">
        <v>186</v>
      </c>
      <c r="C455" s="5">
        <v>171</v>
      </c>
      <c r="D455" s="5">
        <v>841909</v>
      </c>
      <c r="E455" s="5">
        <v>15117392980</v>
      </c>
      <c r="F455" s="5">
        <v>17990</v>
      </c>
      <c r="G455" s="5">
        <v>17420</v>
      </c>
      <c r="H455" s="5">
        <v>17960</v>
      </c>
      <c r="I455" s="5">
        <v>-0.17</v>
      </c>
      <c r="J455" s="5">
        <v>17400</v>
      </c>
      <c r="K455" s="5">
        <v>18390</v>
      </c>
    </row>
    <row r="456" spans="1:11" x14ac:dyDescent="0.3">
      <c r="A456" s="9" t="s">
        <v>835</v>
      </c>
      <c r="B456" s="5" t="s">
        <v>836</v>
      </c>
      <c r="C456" s="5">
        <v>133</v>
      </c>
      <c r="D456" s="5">
        <v>4684552</v>
      </c>
      <c r="E456" s="5">
        <v>26255100700</v>
      </c>
      <c r="F456" s="5">
        <v>5490</v>
      </c>
      <c r="G456" s="5">
        <v>5640</v>
      </c>
      <c r="H456" s="5">
        <v>5600</v>
      </c>
      <c r="I456" s="5">
        <v>2</v>
      </c>
      <c r="J456" s="5">
        <v>5480</v>
      </c>
      <c r="K456" s="5">
        <v>5650</v>
      </c>
    </row>
    <row r="457" spans="1:11" x14ac:dyDescent="0.3">
      <c r="A457" s="9" t="s">
        <v>424</v>
      </c>
      <c r="B457" s="5" t="s">
        <v>425</v>
      </c>
      <c r="C457" s="5">
        <v>1221</v>
      </c>
      <c r="D457" s="5">
        <v>34841667</v>
      </c>
      <c r="E457" s="5">
        <v>45415757499</v>
      </c>
      <c r="F457" s="5">
        <v>1311</v>
      </c>
      <c r="G457" s="5">
        <v>1333</v>
      </c>
      <c r="H457" s="5">
        <v>1303</v>
      </c>
      <c r="I457" s="5">
        <v>-0.61</v>
      </c>
      <c r="J457" s="5">
        <v>1280</v>
      </c>
      <c r="K457" s="5">
        <v>1349</v>
      </c>
    </row>
    <row r="458" spans="1:11" x14ac:dyDescent="0.3">
      <c r="A458" s="9" t="s">
        <v>684</v>
      </c>
      <c r="B458" s="5" t="s">
        <v>685</v>
      </c>
      <c r="C458" s="5">
        <v>4510</v>
      </c>
      <c r="D458" s="5">
        <v>27906377</v>
      </c>
      <c r="E458" s="5">
        <v>272393527350</v>
      </c>
      <c r="F458" s="5">
        <v>9890</v>
      </c>
      <c r="G458" s="5">
        <v>9950</v>
      </c>
      <c r="H458" s="5">
        <v>9760</v>
      </c>
      <c r="I458" s="5">
        <v>-1.31</v>
      </c>
      <c r="J458" s="5">
        <v>9410</v>
      </c>
      <c r="K458" s="5">
        <v>10000</v>
      </c>
    </row>
    <row r="459" spans="1:11" x14ac:dyDescent="0.3">
      <c r="A459" s="9" t="s">
        <v>440</v>
      </c>
      <c r="B459" s="5" t="s">
        <v>441</v>
      </c>
      <c r="C459" s="5">
        <v>141</v>
      </c>
      <c r="D459" s="5">
        <v>824335</v>
      </c>
      <c r="E459" s="5">
        <v>71098893750</v>
      </c>
      <c r="F459" s="5">
        <v>83750</v>
      </c>
      <c r="G459" s="5">
        <v>86250</v>
      </c>
      <c r="H459" s="5">
        <v>85450</v>
      </c>
      <c r="I459" s="5">
        <v>2.0299999999999998</v>
      </c>
      <c r="J459" s="5">
        <v>86250</v>
      </c>
      <c r="K459" s="5">
        <v>86250</v>
      </c>
    </row>
    <row r="460" spans="1:11" x14ac:dyDescent="0.3">
      <c r="A460" s="9" t="s">
        <v>241</v>
      </c>
      <c r="B460" s="5" t="s">
        <v>240</v>
      </c>
      <c r="C460" s="5">
        <v>758</v>
      </c>
      <c r="D460" s="5">
        <v>21195595</v>
      </c>
      <c r="E460" s="5">
        <v>93101538977</v>
      </c>
      <c r="F460" s="5">
        <v>4264</v>
      </c>
      <c r="G460" s="5">
        <v>4460</v>
      </c>
      <c r="H460" s="5">
        <v>4392</v>
      </c>
      <c r="I460" s="5">
        <v>3</v>
      </c>
      <c r="J460" s="5">
        <v>4276</v>
      </c>
      <c r="K460" s="5">
        <v>4469</v>
      </c>
    </row>
    <row r="461" spans="1:11" x14ac:dyDescent="0.3">
      <c r="A461" s="9" t="s">
        <v>1117</v>
      </c>
      <c r="B461" s="5" t="s">
        <v>1118</v>
      </c>
      <c r="C461" s="5">
        <v>58</v>
      </c>
      <c r="D461" s="5">
        <v>76673</v>
      </c>
      <c r="E461" s="5">
        <v>2679842400</v>
      </c>
      <c r="F461" s="5">
        <v>35100</v>
      </c>
      <c r="G461" s="5">
        <v>34400</v>
      </c>
      <c r="H461" s="5">
        <v>35050</v>
      </c>
      <c r="I461" s="5">
        <v>-0.14000000000000001</v>
      </c>
      <c r="J461" s="5">
        <v>34400</v>
      </c>
      <c r="K461" s="5">
        <v>35750</v>
      </c>
    </row>
    <row r="462" spans="1:11" x14ac:dyDescent="0.3">
      <c r="A462" s="9" t="s">
        <v>853</v>
      </c>
      <c r="B462" s="5" t="s">
        <v>854</v>
      </c>
      <c r="C462" s="5">
        <v>10</v>
      </c>
      <c r="D462" s="5">
        <v>969</v>
      </c>
      <c r="E462" s="5">
        <v>497333300</v>
      </c>
      <c r="F462" s="5">
        <v>490300</v>
      </c>
      <c r="G462" s="5">
        <v>514700</v>
      </c>
      <c r="H462" s="5">
        <v>513250</v>
      </c>
      <c r="I462" s="5">
        <v>4.68</v>
      </c>
      <c r="J462" s="5">
        <v>510000</v>
      </c>
      <c r="K462" s="5">
        <v>514700</v>
      </c>
    </row>
    <row r="463" spans="1:11" x14ac:dyDescent="0.3">
      <c r="A463" s="9" t="s">
        <v>364</v>
      </c>
      <c r="B463" s="5" t="s">
        <v>363</v>
      </c>
      <c r="C463" s="5">
        <v>2655</v>
      </c>
      <c r="D463" s="5">
        <v>16859640</v>
      </c>
      <c r="E463" s="5">
        <v>248262654740</v>
      </c>
      <c r="F463" s="5">
        <v>14250</v>
      </c>
      <c r="G463" s="5">
        <v>14390</v>
      </c>
      <c r="H463" s="5">
        <v>14730</v>
      </c>
      <c r="I463" s="5">
        <v>3.37</v>
      </c>
      <c r="J463" s="5">
        <v>14390</v>
      </c>
      <c r="K463" s="5">
        <v>14960</v>
      </c>
    </row>
    <row r="464" spans="1:11" x14ac:dyDescent="0.3">
      <c r="A464" s="9" t="s">
        <v>1543</v>
      </c>
      <c r="B464" s="5" t="s">
        <v>772</v>
      </c>
      <c r="C464" s="5">
        <v>1731</v>
      </c>
      <c r="D464" s="5">
        <v>29123639</v>
      </c>
      <c r="E464" s="5">
        <v>250414133120</v>
      </c>
      <c r="F464" s="5">
        <v>8370</v>
      </c>
      <c r="G464" s="5">
        <v>8620</v>
      </c>
      <c r="H464" s="5">
        <v>8600</v>
      </c>
      <c r="I464" s="5">
        <v>2.75</v>
      </c>
      <c r="J464" s="5">
        <v>8420</v>
      </c>
      <c r="K464" s="5">
        <v>8620</v>
      </c>
    </row>
    <row r="465" spans="1:11" x14ac:dyDescent="0.3">
      <c r="A465" s="9" t="s">
        <v>178</v>
      </c>
      <c r="B465" s="5" t="s">
        <v>177</v>
      </c>
      <c r="C465" s="5">
        <v>1767</v>
      </c>
      <c r="D465" s="5">
        <v>13673204</v>
      </c>
      <c r="E465" s="5">
        <v>112927226260</v>
      </c>
      <c r="F465" s="5">
        <v>8580</v>
      </c>
      <c r="G465" s="5">
        <v>8710</v>
      </c>
      <c r="H465" s="5">
        <v>8260</v>
      </c>
      <c r="I465" s="5">
        <v>-3.73</v>
      </c>
      <c r="J465" s="5">
        <v>8160</v>
      </c>
      <c r="K465" s="5">
        <v>8710</v>
      </c>
    </row>
    <row r="466" spans="1:11" x14ac:dyDescent="0.3">
      <c r="A466" s="9" t="s">
        <v>840</v>
      </c>
      <c r="B466" s="5" t="s">
        <v>841</v>
      </c>
      <c r="C466" s="5">
        <v>7</v>
      </c>
      <c r="D466" s="5">
        <v>14194</v>
      </c>
      <c r="E466" s="5">
        <v>748023800</v>
      </c>
      <c r="F466" s="5">
        <v>54300</v>
      </c>
      <c r="G466" s="5">
        <v>52700</v>
      </c>
      <c r="H466" s="5">
        <v>54250</v>
      </c>
      <c r="I466" s="5">
        <v>-0.09</v>
      </c>
      <c r="J466" s="5">
        <v>52700</v>
      </c>
      <c r="K466" s="5">
        <v>52700</v>
      </c>
    </row>
    <row r="467" spans="1:11" x14ac:dyDescent="0.3">
      <c r="A467" s="9" t="s">
        <v>1712</v>
      </c>
      <c r="B467" s="5" t="s">
        <v>1713</v>
      </c>
      <c r="C467" s="5">
        <v>59</v>
      </c>
      <c r="D467" s="5">
        <v>2410000</v>
      </c>
      <c r="E467" s="5">
        <v>15640900000</v>
      </c>
      <c r="F467" s="5">
        <v>6181</v>
      </c>
      <c r="G467" s="5">
        <v>6490</v>
      </c>
      <c r="H467" s="5">
        <v>6490</v>
      </c>
      <c r="I467" s="5">
        <v>5</v>
      </c>
      <c r="J467" s="5">
        <v>6490</v>
      </c>
      <c r="K467" s="5">
        <v>6490</v>
      </c>
    </row>
    <row r="468" spans="1:11" x14ac:dyDescent="0.3">
      <c r="A468" s="9" t="s">
        <v>953</v>
      </c>
      <c r="B468" s="5" t="s">
        <v>954</v>
      </c>
      <c r="C468" s="5">
        <v>374</v>
      </c>
      <c r="D468" s="5">
        <v>628960</v>
      </c>
      <c r="E468" s="5">
        <v>40844366150</v>
      </c>
      <c r="F468" s="5">
        <v>63450</v>
      </c>
      <c r="G468" s="5">
        <v>64950</v>
      </c>
      <c r="H468" s="5">
        <v>64950</v>
      </c>
      <c r="I468" s="5">
        <v>2.36</v>
      </c>
      <c r="J468" s="5">
        <v>63450</v>
      </c>
      <c r="K468" s="5">
        <v>65350</v>
      </c>
    </row>
    <row r="469" spans="1:11" x14ac:dyDescent="0.3">
      <c r="A469" s="9" t="s">
        <v>1071</v>
      </c>
      <c r="B469" s="5" t="s">
        <v>1072</v>
      </c>
      <c r="C469" s="5">
        <v>811</v>
      </c>
      <c r="D469" s="5">
        <v>9170371</v>
      </c>
      <c r="E469" s="5">
        <v>68385368660</v>
      </c>
      <c r="F469" s="5">
        <v>7060</v>
      </c>
      <c r="G469" s="5">
        <v>7550</v>
      </c>
      <c r="H469" s="5">
        <v>7460</v>
      </c>
      <c r="I469" s="5">
        <v>5.67</v>
      </c>
      <c r="J469" s="5">
        <v>7220</v>
      </c>
      <c r="K469" s="5">
        <v>7550</v>
      </c>
    </row>
    <row r="470" spans="1:11" x14ac:dyDescent="0.3">
      <c r="A470" s="9" t="s">
        <v>380</v>
      </c>
      <c r="B470" s="5" t="s">
        <v>379</v>
      </c>
      <c r="C470" s="5">
        <v>432</v>
      </c>
      <c r="D470" s="5">
        <v>1274915</v>
      </c>
      <c r="E470" s="5">
        <v>26068905800</v>
      </c>
      <c r="F470" s="5">
        <v>20200</v>
      </c>
      <c r="G470" s="5">
        <v>19900</v>
      </c>
      <c r="H470" s="5">
        <v>20450</v>
      </c>
      <c r="I470" s="5">
        <v>1.24</v>
      </c>
      <c r="J470" s="5">
        <v>19900</v>
      </c>
      <c r="K470" s="5">
        <v>21190</v>
      </c>
    </row>
    <row r="471" spans="1:11" x14ac:dyDescent="0.3">
      <c r="A471" s="9" t="s">
        <v>1406</v>
      </c>
      <c r="B471" s="5" t="s">
        <v>1407</v>
      </c>
      <c r="C471" s="5">
        <v>3121</v>
      </c>
      <c r="D471" s="5">
        <v>13614360</v>
      </c>
      <c r="E471" s="5">
        <v>438812881150</v>
      </c>
      <c r="F471" s="5">
        <v>30580</v>
      </c>
      <c r="G471" s="5">
        <v>31990</v>
      </c>
      <c r="H471" s="5">
        <v>32230</v>
      </c>
      <c r="I471" s="5">
        <v>5.4</v>
      </c>
      <c r="J471" s="5">
        <v>30900</v>
      </c>
      <c r="K471" s="5">
        <v>32720</v>
      </c>
    </row>
    <row r="472" spans="1:11" x14ac:dyDescent="0.3">
      <c r="A472" s="9" t="s">
        <v>1799</v>
      </c>
      <c r="B472" s="5" t="s">
        <v>1800</v>
      </c>
      <c r="C472" s="5">
        <v>1011</v>
      </c>
      <c r="D472" s="5">
        <v>10831938</v>
      </c>
      <c r="E472" s="5">
        <v>129682872040</v>
      </c>
      <c r="F472" s="5">
        <v>10960</v>
      </c>
      <c r="G472" s="5">
        <v>12110</v>
      </c>
      <c r="H472" s="5">
        <v>11970</v>
      </c>
      <c r="I472" s="5">
        <v>9.2200000000000006</v>
      </c>
      <c r="J472" s="5">
        <v>11600</v>
      </c>
      <c r="K472" s="5">
        <v>12150</v>
      </c>
    </row>
    <row r="473" spans="1:11" x14ac:dyDescent="0.3">
      <c r="A473" s="9" t="s">
        <v>149</v>
      </c>
      <c r="B473" s="5" t="s">
        <v>148</v>
      </c>
      <c r="C473" s="5">
        <v>61</v>
      </c>
      <c r="D473" s="5">
        <v>1428411</v>
      </c>
      <c r="E473" s="5">
        <v>14832113563</v>
      </c>
      <c r="F473" s="5">
        <v>10398</v>
      </c>
      <c r="G473" s="5">
        <v>10454</v>
      </c>
      <c r="H473" s="5">
        <v>10384</v>
      </c>
      <c r="I473" s="5">
        <v>-0.13</v>
      </c>
      <c r="J473" s="5">
        <v>10342</v>
      </c>
      <c r="K473" s="5">
        <v>10454</v>
      </c>
    </row>
    <row r="474" spans="1:11" x14ac:dyDescent="0.3">
      <c r="A474" s="9" t="s">
        <v>1354</v>
      </c>
      <c r="B474" s="5" t="s">
        <v>1355</v>
      </c>
      <c r="C474" s="5">
        <v>2849</v>
      </c>
      <c r="D474" s="5">
        <v>69806112</v>
      </c>
      <c r="E474" s="5">
        <v>272834603869</v>
      </c>
      <c r="F474" s="5">
        <v>3725</v>
      </c>
      <c r="G474" s="5">
        <v>3911</v>
      </c>
      <c r="H474" s="5">
        <v>3908</v>
      </c>
      <c r="I474" s="5">
        <v>4.91</v>
      </c>
      <c r="J474" s="5">
        <v>3850</v>
      </c>
      <c r="K474" s="5">
        <v>3911</v>
      </c>
    </row>
    <row r="475" spans="1:11" x14ac:dyDescent="0.3">
      <c r="A475" s="9" t="s">
        <v>671</v>
      </c>
      <c r="B475" s="5" t="s">
        <v>672</v>
      </c>
      <c r="C475" s="5">
        <v>1</v>
      </c>
      <c r="D475" s="5">
        <v>10000</v>
      </c>
      <c r="E475" s="5">
        <v>10000000000</v>
      </c>
      <c r="F475" s="5">
        <v>1000000</v>
      </c>
      <c r="G475" s="5">
        <v>1000000</v>
      </c>
      <c r="H475" s="5">
        <v>1000000</v>
      </c>
      <c r="I475" s="5">
        <v>0</v>
      </c>
      <c r="J475" s="5">
        <v>1000000</v>
      </c>
      <c r="K475" s="5">
        <v>1000000</v>
      </c>
    </row>
    <row r="476" spans="1:11" x14ac:dyDescent="0.3">
      <c r="A476" s="9" t="s">
        <v>1782</v>
      </c>
      <c r="B476" s="5" t="s">
        <v>1783</v>
      </c>
      <c r="C476" s="5">
        <v>1</v>
      </c>
      <c r="D476" s="5">
        <v>830000</v>
      </c>
      <c r="E476" s="5">
        <v>830855730000</v>
      </c>
      <c r="F476" s="5">
        <v>1000000</v>
      </c>
      <c r="G476" s="5">
        <v>1001031</v>
      </c>
      <c r="H476" s="5">
        <v>1001031</v>
      </c>
      <c r="I476" s="5">
        <v>0.1</v>
      </c>
      <c r="J476" s="5">
        <v>1001031</v>
      </c>
      <c r="K476" s="5">
        <v>1001031</v>
      </c>
    </row>
    <row r="477" spans="1:11" x14ac:dyDescent="0.3">
      <c r="A477" s="9" t="s">
        <v>1864</v>
      </c>
      <c r="B477" s="5" t="s">
        <v>133</v>
      </c>
      <c r="C477" s="5">
        <v>1</v>
      </c>
      <c r="D477" s="5">
        <v>100000</v>
      </c>
      <c r="E477" s="5">
        <v>100000</v>
      </c>
      <c r="F477" s="5">
        <v>15669</v>
      </c>
      <c r="G477" s="5">
        <v>1</v>
      </c>
      <c r="H477" s="5">
        <v>1</v>
      </c>
      <c r="I477" s="5">
        <v>-99.99</v>
      </c>
      <c r="J477" s="5">
        <v>1</v>
      </c>
      <c r="K477" s="5">
        <v>1</v>
      </c>
    </row>
    <row r="478" spans="1:11" x14ac:dyDescent="0.3">
      <c r="A478" s="9" t="s">
        <v>41</v>
      </c>
      <c r="B478" s="5" t="s">
        <v>40</v>
      </c>
      <c r="C478" s="5">
        <v>52</v>
      </c>
      <c r="D478" s="5">
        <v>14669</v>
      </c>
      <c r="E478" s="5">
        <v>2302662730</v>
      </c>
      <c r="F478" s="5">
        <v>151910</v>
      </c>
      <c r="G478" s="5">
        <v>155320</v>
      </c>
      <c r="H478" s="5">
        <v>156970</v>
      </c>
      <c r="I478" s="5">
        <v>3.33</v>
      </c>
      <c r="J478" s="5">
        <v>155320</v>
      </c>
      <c r="K478" s="5">
        <v>158300</v>
      </c>
    </row>
    <row r="479" spans="1:11" x14ac:dyDescent="0.3">
      <c r="A479" s="9" t="s">
        <v>245</v>
      </c>
      <c r="B479" s="5" t="s">
        <v>244</v>
      </c>
      <c r="C479" s="5">
        <v>2</v>
      </c>
      <c r="D479" s="5">
        <v>219</v>
      </c>
      <c r="E479" s="5">
        <v>215660250</v>
      </c>
      <c r="F479" s="5">
        <v>984750</v>
      </c>
      <c r="G479" s="5">
        <v>984750</v>
      </c>
      <c r="H479" s="5">
        <v>984750</v>
      </c>
      <c r="I479" s="5">
        <v>0</v>
      </c>
      <c r="J479" s="5">
        <v>984750</v>
      </c>
      <c r="K479" s="5">
        <v>984750</v>
      </c>
    </row>
    <row r="480" spans="1:11" x14ac:dyDescent="0.3">
      <c r="A480" s="9" t="s">
        <v>1089</v>
      </c>
      <c r="B480" s="5" t="s">
        <v>1090</v>
      </c>
      <c r="C480" s="5">
        <v>1</v>
      </c>
      <c r="D480" s="5">
        <v>10</v>
      </c>
      <c r="E480" s="5">
        <v>20000000</v>
      </c>
      <c r="F480" s="5">
        <v>1196</v>
      </c>
      <c r="G480" s="5">
        <v>2000</v>
      </c>
      <c r="H480" s="5">
        <v>2000</v>
      </c>
      <c r="I480" s="5">
        <v>67.22</v>
      </c>
      <c r="J480" s="5">
        <v>2000</v>
      </c>
      <c r="K480" s="5">
        <v>2000</v>
      </c>
    </row>
    <row r="481" spans="1:11" x14ac:dyDescent="0.3">
      <c r="A481" s="9" t="s">
        <v>1111</v>
      </c>
      <c r="B481" s="5" t="s">
        <v>1112</v>
      </c>
      <c r="C481" s="5">
        <v>1</v>
      </c>
      <c r="D481" s="5">
        <v>2</v>
      </c>
      <c r="E481" s="5">
        <v>3998000</v>
      </c>
      <c r="F481" s="5">
        <v>1400</v>
      </c>
      <c r="G481" s="5">
        <v>1999</v>
      </c>
      <c r="H481" s="5">
        <v>1999</v>
      </c>
      <c r="I481" s="5">
        <v>42.79</v>
      </c>
      <c r="J481" s="5">
        <v>1999</v>
      </c>
      <c r="K481" s="5">
        <v>1999</v>
      </c>
    </row>
    <row r="482" spans="1:11" x14ac:dyDescent="0.3">
      <c r="A482" s="9" t="s">
        <v>1581</v>
      </c>
      <c r="B482" s="5" t="s">
        <v>1582</v>
      </c>
      <c r="C482" s="5">
        <v>0</v>
      </c>
      <c r="D482" s="5">
        <v>0</v>
      </c>
      <c r="E482" s="5">
        <v>0</v>
      </c>
      <c r="F482" s="5">
        <v>1000</v>
      </c>
      <c r="G482" s="5">
        <v>0</v>
      </c>
      <c r="H482" s="5">
        <v>1000</v>
      </c>
      <c r="I482" s="5">
        <v>0</v>
      </c>
      <c r="J482" s="5">
        <v>0</v>
      </c>
      <c r="K482" s="5">
        <v>0</v>
      </c>
    </row>
    <row r="483" spans="1:11" x14ac:dyDescent="0.3">
      <c r="A483" s="9" t="s">
        <v>1421</v>
      </c>
      <c r="B483" s="5" t="s">
        <v>1422</v>
      </c>
      <c r="C483" s="5">
        <v>0</v>
      </c>
      <c r="D483" s="5">
        <v>0</v>
      </c>
      <c r="E483" s="5">
        <v>0</v>
      </c>
      <c r="F483" s="5">
        <v>645</v>
      </c>
      <c r="G483" s="5">
        <v>0</v>
      </c>
      <c r="H483" s="5">
        <v>645</v>
      </c>
      <c r="I483" s="5">
        <v>0</v>
      </c>
      <c r="J483" s="5">
        <v>0</v>
      </c>
      <c r="K483" s="5">
        <v>0</v>
      </c>
    </row>
    <row r="484" spans="1:11" x14ac:dyDescent="0.3">
      <c r="A484" s="9" t="s">
        <v>547</v>
      </c>
      <c r="B484" s="5" t="s">
        <v>548</v>
      </c>
      <c r="C484" s="5">
        <v>9</v>
      </c>
      <c r="D484" s="5">
        <v>90</v>
      </c>
      <c r="E484" s="5">
        <v>196839000</v>
      </c>
      <c r="F484" s="5">
        <v>1346</v>
      </c>
      <c r="G484" s="5">
        <v>1600</v>
      </c>
      <c r="H484" s="5">
        <v>2187</v>
      </c>
      <c r="I484" s="5">
        <v>62.48</v>
      </c>
      <c r="J484" s="5">
        <v>1600</v>
      </c>
      <c r="K484" s="5">
        <v>2390</v>
      </c>
    </row>
    <row r="485" spans="1:11" x14ac:dyDescent="0.3">
      <c r="A485" s="9" t="s">
        <v>638</v>
      </c>
      <c r="B485" s="5" t="s">
        <v>639</v>
      </c>
      <c r="C485" s="5">
        <v>0</v>
      </c>
      <c r="D485" s="5">
        <v>0</v>
      </c>
      <c r="E485" s="5">
        <v>0</v>
      </c>
      <c r="F485" s="5">
        <v>1000</v>
      </c>
      <c r="G485" s="5">
        <v>0</v>
      </c>
      <c r="H485" s="5">
        <v>1000</v>
      </c>
      <c r="I485" s="5">
        <v>0</v>
      </c>
      <c r="J485" s="5">
        <v>0</v>
      </c>
      <c r="K485" s="5">
        <v>0</v>
      </c>
    </row>
    <row r="486" spans="1:11" x14ac:dyDescent="0.3">
      <c r="A486" s="9" t="s">
        <v>1340</v>
      </c>
      <c r="B486" s="5" t="s">
        <v>1341</v>
      </c>
      <c r="C486" s="5">
        <v>3</v>
      </c>
      <c r="D486" s="5">
        <v>5</v>
      </c>
      <c r="E486" s="5">
        <v>4907820</v>
      </c>
      <c r="F486" s="5">
        <v>85000</v>
      </c>
      <c r="G486" s="5">
        <v>102500</v>
      </c>
      <c r="H486" s="5">
        <v>98156</v>
      </c>
      <c r="I486" s="5">
        <v>15.48</v>
      </c>
      <c r="J486" s="5">
        <v>95261</v>
      </c>
      <c r="K486" s="5">
        <v>102500</v>
      </c>
    </row>
    <row r="487" spans="1:11" x14ac:dyDescent="0.3">
      <c r="A487" s="9" t="s">
        <v>1042</v>
      </c>
      <c r="B487" s="5" t="s">
        <v>1043</v>
      </c>
      <c r="C487" s="5">
        <v>0</v>
      </c>
      <c r="D487" s="5">
        <v>0</v>
      </c>
      <c r="E487" s="5">
        <v>0</v>
      </c>
      <c r="F487" s="5">
        <v>1450</v>
      </c>
      <c r="G487" s="5">
        <v>0</v>
      </c>
      <c r="H487" s="5">
        <v>1450</v>
      </c>
      <c r="I487" s="5">
        <v>0</v>
      </c>
      <c r="J487" s="5">
        <v>0</v>
      </c>
      <c r="K487" s="5">
        <v>0</v>
      </c>
    </row>
    <row r="488" spans="1:11" x14ac:dyDescent="0.3">
      <c r="A488" s="9" t="s">
        <v>927</v>
      </c>
      <c r="B488" s="5" t="s">
        <v>928</v>
      </c>
      <c r="C488" s="5">
        <v>7</v>
      </c>
      <c r="D488" s="5">
        <v>182</v>
      </c>
      <c r="E488" s="5">
        <v>245890000</v>
      </c>
      <c r="F488" s="5">
        <v>1494</v>
      </c>
      <c r="G488" s="5">
        <v>1200</v>
      </c>
      <c r="H488" s="5">
        <v>1351</v>
      </c>
      <c r="I488" s="5">
        <v>-9.57</v>
      </c>
      <c r="J488" s="5">
        <v>1200</v>
      </c>
      <c r="K488" s="5">
        <v>1400</v>
      </c>
    </row>
    <row r="489" spans="1:11" x14ac:dyDescent="0.3">
      <c r="A489" s="9" t="s">
        <v>874</v>
      </c>
      <c r="B489" s="5" t="s">
        <v>875</v>
      </c>
      <c r="C489" s="5">
        <v>39</v>
      </c>
      <c r="D489" s="5">
        <v>1176</v>
      </c>
      <c r="E489" s="5">
        <v>1503910000</v>
      </c>
      <c r="F489" s="5">
        <v>1258</v>
      </c>
      <c r="G489" s="5">
        <v>1300</v>
      </c>
      <c r="H489" s="5">
        <v>1279</v>
      </c>
      <c r="I489" s="5">
        <v>1.67</v>
      </c>
      <c r="J489" s="5">
        <v>1250</v>
      </c>
      <c r="K489" s="5">
        <v>1350</v>
      </c>
    </row>
    <row r="490" spans="1:11" x14ac:dyDescent="0.3">
      <c r="A490" s="9" t="s">
        <v>872</v>
      </c>
      <c r="B490" s="5" t="s">
        <v>873</v>
      </c>
      <c r="C490" s="5">
        <v>1</v>
      </c>
      <c r="D490" s="5">
        <v>1</v>
      </c>
      <c r="E490" s="5">
        <v>1020000</v>
      </c>
      <c r="F490" s="5">
        <v>816</v>
      </c>
      <c r="G490" s="5">
        <v>1020</v>
      </c>
      <c r="H490" s="5">
        <v>1020</v>
      </c>
      <c r="I490" s="5">
        <v>25</v>
      </c>
      <c r="J490" s="5">
        <v>1020</v>
      </c>
      <c r="K490" s="5">
        <v>1020</v>
      </c>
    </row>
    <row r="491" spans="1:11" x14ac:dyDescent="0.3">
      <c r="A491" s="9" t="s">
        <v>876</v>
      </c>
      <c r="B491" s="5" t="s">
        <v>877</v>
      </c>
      <c r="C491" s="5">
        <v>0</v>
      </c>
      <c r="D491" s="5">
        <v>0</v>
      </c>
      <c r="E491" s="5">
        <v>0</v>
      </c>
      <c r="F491" s="5">
        <v>598</v>
      </c>
      <c r="G491" s="5">
        <v>0</v>
      </c>
      <c r="H491" s="5">
        <v>598</v>
      </c>
      <c r="I491" s="5">
        <v>0</v>
      </c>
      <c r="J491" s="5">
        <v>0</v>
      </c>
      <c r="K491" s="5">
        <v>0</v>
      </c>
    </row>
    <row r="492" spans="1:11" x14ac:dyDescent="0.3">
      <c r="A492" s="9" t="s">
        <v>1311</v>
      </c>
      <c r="B492" s="5" t="s">
        <v>1312</v>
      </c>
      <c r="C492" s="5">
        <v>0</v>
      </c>
      <c r="D492" s="5">
        <v>0</v>
      </c>
      <c r="E492" s="5">
        <v>0</v>
      </c>
      <c r="F492" s="5">
        <v>537</v>
      </c>
      <c r="G492" s="5">
        <v>0</v>
      </c>
      <c r="H492" s="5">
        <v>537</v>
      </c>
      <c r="I492" s="5">
        <v>0</v>
      </c>
      <c r="J492" s="5">
        <v>0</v>
      </c>
      <c r="K492" s="5">
        <v>0</v>
      </c>
    </row>
    <row r="493" spans="1:11" x14ac:dyDescent="0.3">
      <c r="A493" s="9" t="s">
        <v>896</v>
      </c>
      <c r="B493" s="5" t="s">
        <v>897</v>
      </c>
      <c r="C493" s="5">
        <v>0</v>
      </c>
      <c r="D493" s="5">
        <v>0</v>
      </c>
      <c r="E493" s="5">
        <v>0</v>
      </c>
      <c r="F493" s="5">
        <v>199</v>
      </c>
      <c r="G493" s="5">
        <v>0</v>
      </c>
      <c r="H493" s="5">
        <v>199</v>
      </c>
      <c r="I493" s="5">
        <v>0</v>
      </c>
      <c r="J493" s="5">
        <v>0</v>
      </c>
      <c r="K493" s="5">
        <v>0</v>
      </c>
    </row>
    <row r="494" spans="1:11" x14ac:dyDescent="0.3">
      <c r="A494" s="9" t="s">
        <v>1850</v>
      </c>
      <c r="B494" s="5" t="s">
        <v>1851</v>
      </c>
      <c r="C494" s="5">
        <v>12</v>
      </c>
      <c r="D494" s="5">
        <v>26</v>
      </c>
      <c r="E494" s="5">
        <v>146153000</v>
      </c>
      <c r="F494" s="5">
        <v>5860</v>
      </c>
      <c r="G494" s="5">
        <v>6000</v>
      </c>
      <c r="H494" s="5">
        <v>5621</v>
      </c>
      <c r="I494" s="5">
        <v>-4.08</v>
      </c>
      <c r="J494" s="5">
        <v>5100</v>
      </c>
      <c r="K494" s="5">
        <v>6100</v>
      </c>
    </row>
    <row r="495" spans="1:11" x14ac:dyDescent="0.3">
      <c r="A495" s="9" t="s">
        <v>1848</v>
      </c>
      <c r="B495" s="5" t="s">
        <v>1849</v>
      </c>
      <c r="C495" s="5">
        <v>1</v>
      </c>
      <c r="D495" s="5">
        <v>5</v>
      </c>
      <c r="E495" s="5">
        <v>27500000</v>
      </c>
      <c r="F495" s="5">
        <v>5600</v>
      </c>
      <c r="G495" s="5">
        <v>5500</v>
      </c>
      <c r="H495" s="5">
        <v>5500</v>
      </c>
      <c r="I495" s="5">
        <v>-1.79</v>
      </c>
      <c r="J495" s="5">
        <v>5500</v>
      </c>
      <c r="K495" s="5">
        <v>5500</v>
      </c>
    </row>
    <row r="496" spans="1:11" x14ac:dyDescent="0.3">
      <c r="A496" s="9" t="s">
        <v>1195</v>
      </c>
      <c r="B496" s="5" t="s">
        <v>1196</v>
      </c>
      <c r="C496" s="5">
        <v>2</v>
      </c>
      <c r="D496" s="5">
        <v>2</v>
      </c>
      <c r="E496" s="5">
        <v>4201000</v>
      </c>
      <c r="F496" s="5">
        <v>2321</v>
      </c>
      <c r="G496" s="5">
        <v>2201</v>
      </c>
      <c r="H496" s="5">
        <v>2100</v>
      </c>
      <c r="I496" s="5">
        <v>-9.52</v>
      </c>
      <c r="J496" s="5">
        <v>2000</v>
      </c>
      <c r="K496" s="5">
        <v>2201</v>
      </c>
    </row>
    <row r="497" spans="1:11" x14ac:dyDescent="0.3">
      <c r="A497" s="9" t="s">
        <v>1867</v>
      </c>
      <c r="B497" s="5" t="s">
        <v>1868</v>
      </c>
      <c r="C497" s="5">
        <v>4</v>
      </c>
      <c r="D497" s="5">
        <v>17</v>
      </c>
      <c r="E497" s="5">
        <v>15585000</v>
      </c>
      <c r="F497" s="5">
        <v>715</v>
      </c>
      <c r="G497" s="5">
        <v>970</v>
      </c>
      <c r="H497" s="5">
        <v>917</v>
      </c>
      <c r="I497" s="5">
        <v>28.25</v>
      </c>
      <c r="J497" s="5">
        <v>720</v>
      </c>
      <c r="K497" s="5">
        <v>970</v>
      </c>
    </row>
    <row r="498" spans="1:11" x14ac:dyDescent="0.3">
      <c r="A498" s="9" t="s">
        <v>1833</v>
      </c>
      <c r="B498" s="5" t="s">
        <v>1834</v>
      </c>
      <c r="C498" s="5">
        <v>16</v>
      </c>
      <c r="D498" s="5">
        <v>615</v>
      </c>
      <c r="E498" s="5">
        <v>293367000</v>
      </c>
      <c r="F498" s="5">
        <v>448</v>
      </c>
      <c r="G498" s="5">
        <v>579</v>
      </c>
      <c r="H498" s="5">
        <v>477</v>
      </c>
      <c r="I498" s="5">
        <v>6.47</v>
      </c>
      <c r="J498" s="5">
        <v>422</v>
      </c>
      <c r="K498" s="5">
        <v>579</v>
      </c>
    </row>
    <row r="499" spans="1:11" x14ac:dyDescent="0.3">
      <c r="A499" s="9" t="s">
        <v>1853</v>
      </c>
      <c r="B499" s="5" t="s">
        <v>1854</v>
      </c>
      <c r="C499" s="5">
        <v>62</v>
      </c>
      <c r="D499" s="5">
        <v>5850</v>
      </c>
      <c r="E499" s="5">
        <v>1992497000</v>
      </c>
      <c r="F499" s="5">
        <v>307</v>
      </c>
      <c r="G499" s="5">
        <v>360</v>
      </c>
      <c r="H499" s="5">
        <v>341</v>
      </c>
      <c r="I499" s="5">
        <v>11.07</v>
      </c>
      <c r="J499" s="5">
        <v>317</v>
      </c>
      <c r="K499" s="5">
        <v>360</v>
      </c>
    </row>
    <row r="500" spans="1:11" x14ac:dyDescent="0.3">
      <c r="A500" s="9" t="s">
        <v>1819</v>
      </c>
      <c r="B500" s="5" t="s">
        <v>1820</v>
      </c>
      <c r="C500" s="5">
        <v>10</v>
      </c>
      <c r="D500" s="5">
        <v>433</v>
      </c>
      <c r="E500" s="5">
        <v>76861000</v>
      </c>
      <c r="F500" s="5">
        <v>155</v>
      </c>
      <c r="G500" s="5">
        <v>279</v>
      </c>
      <c r="H500" s="5">
        <v>178</v>
      </c>
      <c r="I500" s="5">
        <v>14.84</v>
      </c>
      <c r="J500" s="5">
        <v>171</v>
      </c>
      <c r="K500" s="5">
        <v>279</v>
      </c>
    </row>
    <row r="501" spans="1:11" x14ac:dyDescent="0.3">
      <c r="A501" s="9" t="s">
        <v>1878</v>
      </c>
      <c r="B501" s="5" t="s">
        <v>1879</v>
      </c>
      <c r="C501" s="5">
        <v>0</v>
      </c>
      <c r="D501" s="5">
        <v>0</v>
      </c>
      <c r="E501" s="5">
        <v>0</v>
      </c>
      <c r="F501" s="5">
        <v>1150</v>
      </c>
      <c r="G501" s="5">
        <v>0</v>
      </c>
      <c r="H501" s="5">
        <v>1150</v>
      </c>
      <c r="I501" s="5">
        <v>0</v>
      </c>
      <c r="J501" s="5">
        <v>0</v>
      </c>
      <c r="K501" s="5">
        <v>0</v>
      </c>
    </row>
    <row r="502" spans="1:11" x14ac:dyDescent="0.3">
      <c r="A502" s="9" t="s">
        <v>1880</v>
      </c>
      <c r="B502" s="5" t="s">
        <v>1881</v>
      </c>
      <c r="C502" s="5">
        <v>18</v>
      </c>
      <c r="D502" s="5">
        <v>1214</v>
      </c>
      <c r="E502" s="5">
        <v>563278000</v>
      </c>
      <c r="F502" s="5">
        <v>399</v>
      </c>
      <c r="G502" s="5">
        <v>599</v>
      </c>
      <c r="H502" s="5">
        <v>464</v>
      </c>
      <c r="I502" s="5">
        <v>16.29</v>
      </c>
      <c r="J502" s="5">
        <v>450</v>
      </c>
      <c r="K502" s="5">
        <v>749</v>
      </c>
    </row>
    <row r="503" spans="1:11" x14ac:dyDescent="0.3">
      <c r="A503" s="9" t="s">
        <v>1882</v>
      </c>
      <c r="B503" s="5" t="s">
        <v>1883</v>
      </c>
      <c r="C503" s="5">
        <v>1</v>
      </c>
      <c r="D503" s="5">
        <v>1</v>
      </c>
      <c r="E503" s="5">
        <v>595000</v>
      </c>
      <c r="F503" s="5">
        <v>212</v>
      </c>
      <c r="G503" s="5">
        <v>595</v>
      </c>
      <c r="H503" s="5">
        <v>595</v>
      </c>
      <c r="I503" s="5">
        <v>180.66</v>
      </c>
      <c r="J503" s="5">
        <v>595</v>
      </c>
      <c r="K503" s="5">
        <v>595</v>
      </c>
    </row>
    <row r="504" spans="1:11" x14ac:dyDescent="0.3">
      <c r="A504" s="9" t="s">
        <v>1884</v>
      </c>
      <c r="B504" s="5" t="s">
        <v>1885</v>
      </c>
      <c r="C504" s="5">
        <v>19</v>
      </c>
      <c r="D504" s="5">
        <v>970</v>
      </c>
      <c r="E504" s="5">
        <v>194180000</v>
      </c>
      <c r="F504" s="5">
        <v>147</v>
      </c>
      <c r="G504" s="5">
        <v>200</v>
      </c>
      <c r="H504" s="5">
        <v>200</v>
      </c>
      <c r="I504" s="5">
        <v>36.049999999999997</v>
      </c>
      <c r="J504" s="5">
        <v>149</v>
      </c>
      <c r="K504" s="5">
        <v>540</v>
      </c>
    </row>
    <row r="505" spans="1:11" x14ac:dyDescent="0.3">
      <c r="A505" s="9" t="s">
        <v>1619</v>
      </c>
      <c r="B505" s="5" t="s">
        <v>1620</v>
      </c>
      <c r="C505" s="5">
        <v>0</v>
      </c>
      <c r="D505" s="5">
        <v>0</v>
      </c>
      <c r="E505" s="5">
        <v>0</v>
      </c>
      <c r="F505" s="5">
        <v>1000</v>
      </c>
      <c r="G505" s="5">
        <v>0</v>
      </c>
      <c r="H505" s="5">
        <v>1000</v>
      </c>
      <c r="I505" s="5">
        <v>0</v>
      </c>
      <c r="J505" s="5">
        <v>0</v>
      </c>
      <c r="K505" s="5">
        <v>0</v>
      </c>
    </row>
    <row r="506" spans="1:11" x14ac:dyDescent="0.3">
      <c r="A506" s="9" t="s">
        <v>1217</v>
      </c>
      <c r="B506" s="5" t="s">
        <v>1218</v>
      </c>
      <c r="C506" s="5">
        <v>12</v>
      </c>
      <c r="D506" s="5">
        <v>1515</v>
      </c>
      <c r="E506" s="5">
        <v>827290000</v>
      </c>
      <c r="F506" s="5">
        <v>502</v>
      </c>
      <c r="G506" s="5">
        <v>550</v>
      </c>
      <c r="H506" s="5">
        <v>546</v>
      </c>
      <c r="I506" s="5">
        <v>8.76</v>
      </c>
      <c r="J506" s="5">
        <v>520</v>
      </c>
      <c r="K506" s="5">
        <v>550</v>
      </c>
    </row>
    <row r="507" spans="1:11" x14ac:dyDescent="0.3">
      <c r="A507" s="9" t="s">
        <v>1215</v>
      </c>
      <c r="B507" s="5" t="s">
        <v>1216</v>
      </c>
      <c r="C507" s="5">
        <v>11</v>
      </c>
      <c r="D507" s="5">
        <v>752</v>
      </c>
      <c r="E507" s="5">
        <v>79922000</v>
      </c>
      <c r="F507" s="5">
        <v>113</v>
      </c>
      <c r="G507" s="5">
        <v>130</v>
      </c>
      <c r="H507" s="5">
        <v>106</v>
      </c>
      <c r="I507" s="5">
        <v>-6.19</v>
      </c>
      <c r="J507" s="5">
        <v>100</v>
      </c>
      <c r="K507" s="5">
        <v>130</v>
      </c>
    </row>
    <row r="508" spans="1:11" x14ac:dyDescent="0.3">
      <c r="A508" s="9" t="s">
        <v>1860</v>
      </c>
      <c r="B508" s="5" t="s">
        <v>1861</v>
      </c>
      <c r="C508" s="5">
        <v>0</v>
      </c>
      <c r="D508" s="5">
        <v>0</v>
      </c>
      <c r="E508" s="5">
        <v>0</v>
      </c>
      <c r="F508" s="5">
        <v>1600</v>
      </c>
      <c r="G508" s="5">
        <v>0</v>
      </c>
      <c r="H508" s="5">
        <v>1600</v>
      </c>
      <c r="I508" s="5">
        <v>0</v>
      </c>
      <c r="J508" s="5">
        <v>0</v>
      </c>
      <c r="K508" s="5">
        <v>0</v>
      </c>
    </row>
    <row r="509" spans="1:11" x14ac:dyDescent="0.3">
      <c r="A509" s="9" t="s">
        <v>1453</v>
      </c>
      <c r="B509" s="5" t="s">
        <v>1454</v>
      </c>
      <c r="C509" s="5">
        <v>18</v>
      </c>
      <c r="D509" s="5">
        <v>383</v>
      </c>
      <c r="E509" s="5">
        <v>510801000</v>
      </c>
      <c r="F509" s="5">
        <v>1276</v>
      </c>
      <c r="G509" s="5">
        <v>1600</v>
      </c>
      <c r="H509" s="5">
        <v>1334</v>
      </c>
      <c r="I509" s="5">
        <v>4.55</v>
      </c>
      <c r="J509" s="5">
        <v>1300</v>
      </c>
      <c r="K509" s="5">
        <v>1600</v>
      </c>
    </row>
    <row r="510" spans="1:11" x14ac:dyDescent="0.3">
      <c r="A510" s="9" t="s">
        <v>1478</v>
      </c>
      <c r="B510" s="5" t="s">
        <v>1479</v>
      </c>
      <c r="C510" s="5">
        <v>0</v>
      </c>
      <c r="D510" s="5">
        <v>0</v>
      </c>
      <c r="E510" s="5">
        <v>0</v>
      </c>
      <c r="F510" s="5">
        <v>1038</v>
      </c>
      <c r="G510" s="5">
        <v>0</v>
      </c>
      <c r="H510" s="5">
        <v>1038</v>
      </c>
      <c r="I510" s="5">
        <v>0</v>
      </c>
      <c r="J510" s="5">
        <v>0</v>
      </c>
      <c r="K510" s="5">
        <v>0</v>
      </c>
    </row>
    <row r="511" spans="1:11" x14ac:dyDescent="0.3">
      <c r="A511" s="9" t="s">
        <v>1488</v>
      </c>
      <c r="B511" s="5" t="s">
        <v>1489</v>
      </c>
      <c r="C511" s="5">
        <v>0</v>
      </c>
      <c r="D511" s="5">
        <v>0</v>
      </c>
      <c r="E511" s="5">
        <v>0</v>
      </c>
      <c r="F511" s="5">
        <v>1050</v>
      </c>
      <c r="G511" s="5">
        <v>0</v>
      </c>
      <c r="H511" s="5">
        <v>1050</v>
      </c>
      <c r="I511" s="5">
        <v>0</v>
      </c>
      <c r="J511" s="5">
        <v>0</v>
      </c>
      <c r="K511" s="5">
        <v>0</v>
      </c>
    </row>
    <row r="512" spans="1:11" x14ac:dyDescent="0.3">
      <c r="A512" s="9" t="s">
        <v>1301</v>
      </c>
      <c r="B512" s="5" t="s">
        <v>1302</v>
      </c>
      <c r="C512" s="5">
        <v>19</v>
      </c>
      <c r="D512" s="5">
        <v>424</v>
      </c>
      <c r="E512" s="5">
        <v>309681000</v>
      </c>
      <c r="F512" s="5">
        <v>788</v>
      </c>
      <c r="G512" s="5">
        <v>900</v>
      </c>
      <c r="H512" s="5">
        <v>730</v>
      </c>
      <c r="I512" s="5">
        <v>-7.36</v>
      </c>
      <c r="J512" s="5">
        <v>653</v>
      </c>
      <c r="K512" s="5">
        <v>900</v>
      </c>
    </row>
    <row r="513" spans="1:11" x14ac:dyDescent="0.3">
      <c r="A513" s="9" t="s">
        <v>1303</v>
      </c>
      <c r="B513" s="5" t="s">
        <v>1304</v>
      </c>
      <c r="C513" s="5">
        <v>1</v>
      </c>
      <c r="D513" s="5">
        <v>1</v>
      </c>
      <c r="E513" s="5">
        <v>999000</v>
      </c>
      <c r="F513" s="5">
        <v>281</v>
      </c>
      <c r="G513" s="5">
        <v>999</v>
      </c>
      <c r="H513" s="5">
        <v>999</v>
      </c>
      <c r="I513" s="5">
        <v>255.52</v>
      </c>
      <c r="J513" s="5">
        <v>999</v>
      </c>
      <c r="K513" s="5">
        <v>999</v>
      </c>
    </row>
    <row r="514" spans="1:11" x14ac:dyDescent="0.3">
      <c r="A514" s="9" t="s">
        <v>1455</v>
      </c>
      <c r="B514" s="5" t="s">
        <v>1456</v>
      </c>
      <c r="C514" s="5">
        <v>1</v>
      </c>
      <c r="D514" s="5">
        <v>1</v>
      </c>
      <c r="E514" s="5">
        <v>999000</v>
      </c>
      <c r="F514" s="5">
        <v>999</v>
      </c>
      <c r="G514" s="5">
        <v>999</v>
      </c>
      <c r="H514" s="5">
        <v>999</v>
      </c>
      <c r="I514" s="5">
        <v>0</v>
      </c>
      <c r="J514" s="5">
        <v>999</v>
      </c>
      <c r="K514" s="5">
        <v>999</v>
      </c>
    </row>
    <row r="515" spans="1:11" x14ac:dyDescent="0.3">
      <c r="A515" s="9" t="s">
        <v>1457</v>
      </c>
      <c r="B515" s="5" t="s">
        <v>1458</v>
      </c>
      <c r="C515" s="5">
        <v>1</v>
      </c>
      <c r="D515" s="5">
        <v>1</v>
      </c>
      <c r="E515" s="5">
        <v>580000</v>
      </c>
      <c r="F515" s="5">
        <v>333</v>
      </c>
      <c r="G515" s="5">
        <v>580</v>
      </c>
      <c r="H515" s="5">
        <v>580</v>
      </c>
      <c r="I515" s="5">
        <v>74.17</v>
      </c>
      <c r="J515" s="5">
        <v>580</v>
      </c>
      <c r="K515" s="5">
        <v>580</v>
      </c>
    </row>
    <row r="516" spans="1:11" x14ac:dyDescent="0.3">
      <c r="A516" s="9" t="s">
        <v>1874</v>
      </c>
      <c r="B516" s="5" t="s">
        <v>1875</v>
      </c>
      <c r="C516" s="5">
        <v>0</v>
      </c>
      <c r="D516" s="5">
        <v>0</v>
      </c>
      <c r="E516" s="5">
        <v>0</v>
      </c>
      <c r="F516" s="5">
        <v>1500</v>
      </c>
      <c r="G516" s="5">
        <v>0</v>
      </c>
      <c r="H516" s="5">
        <v>1500</v>
      </c>
      <c r="I516" s="5">
        <v>0</v>
      </c>
      <c r="J516" s="5">
        <v>0</v>
      </c>
      <c r="K516" s="5">
        <v>0</v>
      </c>
    </row>
    <row r="517" spans="1:11" x14ac:dyDescent="0.3">
      <c r="A517" s="9" t="s">
        <v>1664</v>
      </c>
      <c r="B517" s="5" t="s">
        <v>1665</v>
      </c>
      <c r="C517" s="5">
        <v>0</v>
      </c>
      <c r="D517" s="5">
        <v>0</v>
      </c>
      <c r="E517" s="5">
        <v>0</v>
      </c>
      <c r="F517" s="5">
        <v>1300</v>
      </c>
      <c r="G517" s="5">
        <v>0</v>
      </c>
      <c r="H517" s="5">
        <v>1300</v>
      </c>
      <c r="I517" s="5">
        <v>0</v>
      </c>
      <c r="J517" s="5">
        <v>0</v>
      </c>
      <c r="K517" s="5">
        <v>0</v>
      </c>
    </row>
    <row r="518" spans="1:11" x14ac:dyDescent="0.3">
      <c r="A518" s="9" t="s">
        <v>1227</v>
      </c>
      <c r="B518" s="5" t="s">
        <v>1228</v>
      </c>
      <c r="C518" s="5">
        <v>23</v>
      </c>
      <c r="D518" s="5">
        <v>1947</v>
      </c>
      <c r="E518" s="5">
        <v>1195738000</v>
      </c>
      <c r="F518" s="5">
        <v>595</v>
      </c>
      <c r="G518" s="5">
        <v>600</v>
      </c>
      <c r="H518" s="5">
        <v>614</v>
      </c>
      <c r="I518" s="5">
        <v>3.19</v>
      </c>
      <c r="J518" s="5">
        <v>600</v>
      </c>
      <c r="K518" s="5">
        <v>690</v>
      </c>
    </row>
    <row r="519" spans="1:11" x14ac:dyDescent="0.3">
      <c r="A519" s="9" t="s">
        <v>1229</v>
      </c>
      <c r="B519" s="5" t="s">
        <v>1230</v>
      </c>
      <c r="C519" s="5">
        <v>43</v>
      </c>
      <c r="D519" s="5">
        <v>3668</v>
      </c>
      <c r="E519" s="5">
        <v>1548569000</v>
      </c>
      <c r="F519" s="5">
        <v>395</v>
      </c>
      <c r="G519" s="5">
        <v>418</v>
      </c>
      <c r="H519" s="5">
        <v>422</v>
      </c>
      <c r="I519" s="5">
        <v>6.84</v>
      </c>
      <c r="J519" s="5">
        <v>401</v>
      </c>
      <c r="K519" s="5">
        <v>455</v>
      </c>
    </row>
    <row r="520" spans="1:11" x14ac:dyDescent="0.3">
      <c r="A520" s="9" t="s">
        <v>1265</v>
      </c>
      <c r="B520" s="5" t="s">
        <v>1266</v>
      </c>
      <c r="C520" s="5">
        <v>23</v>
      </c>
      <c r="D520" s="5">
        <v>2093</v>
      </c>
      <c r="E520" s="5">
        <v>570758000</v>
      </c>
      <c r="F520" s="5">
        <v>260</v>
      </c>
      <c r="G520" s="5">
        <v>298</v>
      </c>
      <c r="H520" s="5">
        <v>273</v>
      </c>
      <c r="I520" s="5">
        <v>5</v>
      </c>
      <c r="J520" s="5">
        <v>250</v>
      </c>
      <c r="K520" s="5">
        <v>298</v>
      </c>
    </row>
    <row r="521" spans="1:11" x14ac:dyDescent="0.3">
      <c r="A521" s="9" t="s">
        <v>1231</v>
      </c>
      <c r="B521" s="5" t="s">
        <v>1232</v>
      </c>
      <c r="C521" s="5">
        <v>21</v>
      </c>
      <c r="D521" s="5">
        <v>2835</v>
      </c>
      <c r="E521" s="5">
        <v>337955000</v>
      </c>
      <c r="F521" s="5">
        <v>113</v>
      </c>
      <c r="G521" s="5">
        <v>140</v>
      </c>
      <c r="H521" s="5">
        <v>119</v>
      </c>
      <c r="I521" s="5">
        <v>5.31</v>
      </c>
      <c r="J521" s="5">
        <v>101</v>
      </c>
      <c r="K521" s="5">
        <v>140</v>
      </c>
    </row>
    <row r="522" spans="1:11" x14ac:dyDescent="0.3">
      <c r="A522" s="9" t="s">
        <v>1342</v>
      </c>
      <c r="B522" s="5" t="s">
        <v>1343</v>
      </c>
      <c r="C522" s="5">
        <v>0</v>
      </c>
      <c r="D522" s="5">
        <v>0</v>
      </c>
      <c r="E522" s="5">
        <v>0</v>
      </c>
      <c r="F522" s="5">
        <v>797</v>
      </c>
      <c r="G522" s="5">
        <v>0</v>
      </c>
      <c r="H522" s="5">
        <v>797</v>
      </c>
      <c r="I522" s="5">
        <v>0</v>
      </c>
      <c r="J522" s="5">
        <v>0</v>
      </c>
      <c r="K522" s="5">
        <v>0</v>
      </c>
    </row>
    <row r="523" spans="1:11" x14ac:dyDescent="0.3">
      <c r="A523" s="9" t="s">
        <v>1307</v>
      </c>
      <c r="B523" s="5" t="s">
        <v>1308</v>
      </c>
      <c r="C523" s="5">
        <v>1</v>
      </c>
      <c r="D523" s="5">
        <v>1</v>
      </c>
      <c r="E523" s="5">
        <v>900000</v>
      </c>
      <c r="F523" s="5">
        <v>629</v>
      </c>
      <c r="G523" s="5">
        <v>900</v>
      </c>
      <c r="H523" s="5">
        <v>900</v>
      </c>
      <c r="I523" s="5">
        <v>43.08</v>
      </c>
      <c r="J523" s="5">
        <v>900</v>
      </c>
      <c r="K523" s="5">
        <v>900</v>
      </c>
    </row>
    <row r="524" spans="1:11" x14ac:dyDescent="0.3">
      <c r="A524" s="9" t="s">
        <v>1309</v>
      </c>
      <c r="B524" s="5" t="s">
        <v>1310</v>
      </c>
      <c r="C524" s="5">
        <v>18</v>
      </c>
      <c r="D524" s="5">
        <v>2482</v>
      </c>
      <c r="E524" s="5">
        <v>1387186000</v>
      </c>
      <c r="F524" s="5">
        <v>461</v>
      </c>
      <c r="G524" s="5">
        <v>598</v>
      </c>
      <c r="H524" s="5">
        <v>559</v>
      </c>
      <c r="I524" s="5">
        <v>21.26</v>
      </c>
      <c r="J524" s="5">
        <v>520</v>
      </c>
      <c r="K524" s="5">
        <v>598</v>
      </c>
    </row>
    <row r="525" spans="1:11" x14ac:dyDescent="0.3">
      <c r="A525" s="9" t="s">
        <v>1225</v>
      </c>
      <c r="B525" s="5" t="s">
        <v>1226</v>
      </c>
      <c r="C525" s="5">
        <v>82</v>
      </c>
      <c r="D525" s="5">
        <v>12518</v>
      </c>
      <c r="E525" s="5">
        <v>4479573000</v>
      </c>
      <c r="F525" s="5">
        <v>339</v>
      </c>
      <c r="G525" s="5">
        <v>250</v>
      </c>
      <c r="H525" s="5">
        <v>358</v>
      </c>
      <c r="I525" s="5">
        <v>5.6</v>
      </c>
      <c r="J525" s="5">
        <v>250</v>
      </c>
      <c r="K525" s="5">
        <v>409</v>
      </c>
    </row>
    <row r="526" spans="1:11" x14ac:dyDescent="0.3">
      <c r="A526" s="9" t="s">
        <v>1344</v>
      </c>
      <c r="B526" s="5" t="s">
        <v>1345</v>
      </c>
      <c r="C526" s="5">
        <v>3</v>
      </c>
      <c r="D526" s="5">
        <v>122</v>
      </c>
      <c r="E526" s="5">
        <v>235428000</v>
      </c>
      <c r="F526" s="5">
        <v>1901</v>
      </c>
      <c r="G526" s="5">
        <v>1901</v>
      </c>
      <c r="H526" s="5">
        <v>1930</v>
      </c>
      <c r="I526" s="5">
        <v>1.53</v>
      </c>
      <c r="J526" s="5">
        <v>1901</v>
      </c>
      <c r="K526" s="5">
        <v>2194</v>
      </c>
    </row>
    <row r="527" spans="1:11" x14ac:dyDescent="0.3">
      <c r="A527" s="9" t="s">
        <v>1378</v>
      </c>
      <c r="B527" s="5" t="s">
        <v>1379</v>
      </c>
      <c r="C527" s="5">
        <v>0</v>
      </c>
      <c r="D527" s="5">
        <v>0</v>
      </c>
      <c r="E527" s="5">
        <v>0</v>
      </c>
      <c r="F527" s="5">
        <v>1716</v>
      </c>
      <c r="G527" s="5">
        <v>0</v>
      </c>
      <c r="H527" s="5">
        <v>1716</v>
      </c>
      <c r="I527" s="5">
        <v>0</v>
      </c>
      <c r="J527" s="5">
        <v>0</v>
      </c>
      <c r="K527" s="5">
        <v>0</v>
      </c>
    </row>
    <row r="528" spans="1:11" x14ac:dyDescent="0.3">
      <c r="A528" s="9" t="s">
        <v>1876</v>
      </c>
      <c r="B528" s="5" t="s">
        <v>1877</v>
      </c>
      <c r="C528" s="5">
        <v>1</v>
      </c>
      <c r="D528" s="5">
        <v>20</v>
      </c>
      <c r="E528" s="5">
        <v>33000000</v>
      </c>
      <c r="F528" s="5">
        <v>1650</v>
      </c>
      <c r="G528" s="5">
        <v>1650</v>
      </c>
      <c r="H528" s="5">
        <v>1650</v>
      </c>
      <c r="I528" s="5">
        <v>0</v>
      </c>
      <c r="J528" s="5">
        <v>1650</v>
      </c>
      <c r="K528" s="5">
        <v>1650</v>
      </c>
    </row>
    <row r="529" spans="1:11" x14ac:dyDescent="0.3">
      <c r="A529" s="9" t="s">
        <v>1598</v>
      </c>
      <c r="B529" s="5" t="s">
        <v>1599</v>
      </c>
      <c r="C529" s="5">
        <v>0</v>
      </c>
      <c r="D529" s="5">
        <v>0</v>
      </c>
      <c r="E529" s="5">
        <v>0</v>
      </c>
      <c r="F529" s="5">
        <v>1570</v>
      </c>
      <c r="G529" s="5">
        <v>0</v>
      </c>
      <c r="H529" s="5">
        <v>1570</v>
      </c>
      <c r="I529" s="5">
        <v>0</v>
      </c>
      <c r="J529" s="5">
        <v>0</v>
      </c>
      <c r="K529" s="5">
        <v>0</v>
      </c>
    </row>
    <row r="530" spans="1:11" x14ac:dyDescent="0.3">
      <c r="A530" s="9" t="s">
        <v>1356</v>
      </c>
      <c r="B530" s="5" t="s">
        <v>1357</v>
      </c>
      <c r="C530" s="5">
        <v>23</v>
      </c>
      <c r="D530" s="5">
        <v>1613</v>
      </c>
      <c r="E530" s="5">
        <v>2564913000</v>
      </c>
      <c r="F530" s="5">
        <v>1611</v>
      </c>
      <c r="G530" s="5">
        <v>1599</v>
      </c>
      <c r="H530" s="5">
        <v>1590</v>
      </c>
      <c r="I530" s="5">
        <v>-1.3</v>
      </c>
      <c r="J530" s="5">
        <v>1550</v>
      </c>
      <c r="K530" s="5">
        <v>2000</v>
      </c>
    </row>
    <row r="531" spans="1:11" x14ac:dyDescent="0.3">
      <c r="A531" s="9" t="s">
        <v>1267</v>
      </c>
      <c r="B531" s="5" t="s">
        <v>1268</v>
      </c>
      <c r="C531" s="5">
        <v>2</v>
      </c>
      <c r="D531" s="5">
        <v>2</v>
      </c>
      <c r="E531" s="5">
        <v>2901000</v>
      </c>
      <c r="F531" s="5">
        <v>1290</v>
      </c>
      <c r="G531" s="5">
        <v>1401</v>
      </c>
      <c r="H531" s="5">
        <v>1450</v>
      </c>
      <c r="I531" s="5">
        <v>12.4</v>
      </c>
      <c r="J531" s="5">
        <v>1401</v>
      </c>
      <c r="K531" s="5">
        <v>1500</v>
      </c>
    </row>
    <row r="532" spans="1:11" x14ac:dyDescent="0.3">
      <c r="A532" s="9" t="s">
        <v>1233</v>
      </c>
      <c r="B532" s="5" t="s">
        <v>1234</v>
      </c>
      <c r="C532" s="5">
        <v>44</v>
      </c>
      <c r="D532" s="5">
        <v>14214</v>
      </c>
      <c r="E532" s="5">
        <v>17321538000</v>
      </c>
      <c r="F532" s="5">
        <v>1292</v>
      </c>
      <c r="G532" s="5">
        <v>1346</v>
      </c>
      <c r="H532" s="5">
        <v>1219</v>
      </c>
      <c r="I532" s="5">
        <v>-5.65</v>
      </c>
      <c r="J532" s="5">
        <v>1201</v>
      </c>
      <c r="K532" s="5">
        <v>1389</v>
      </c>
    </row>
    <row r="533" spans="1:11" x14ac:dyDescent="0.3">
      <c r="A533" s="9" t="s">
        <v>1235</v>
      </c>
      <c r="B533" s="5" t="s">
        <v>1236</v>
      </c>
      <c r="C533" s="5">
        <v>162</v>
      </c>
      <c r="D533" s="5">
        <v>9196</v>
      </c>
      <c r="E533" s="5">
        <v>10474804000</v>
      </c>
      <c r="F533" s="5">
        <v>1149</v>
      </c>
      <c r="G533" s="5">
        <v>1052</v>
      </c>
      <c r="H533" s="5">
        <v>1139</v>
      </c>
      <c r="I533" s="5">
        <v>-0.87</v>
      </c>
      <c r="J533" s="5">
        <v>1051</v>
      </c>
      <c r="K533" s="5">
        <v>1220</v>
      </c>
    </row>
    <row r="534" spans="1:11" x14ac:dyDescent="0.3">
      <c r="A534" s="9" t="s">
        <v>1237</v>
      </c>
      <c r="B534" s="5" t="s">
        <v>1238</v>
      </c>
      <c r="C534" s="5">
        <v>7</v>
      </c>
      <c r="D534" s="5">
        <v>97</v>
      </c>
      <c r="E534" s="5">
        <v>100006000</v>
      </c>
      <c r="F534" s="5">
        <v>974</v>
      </c>
      <c r="G534" s="5">
        <v>999</v>
      </c>
      <c r="H534" s="5">
        <v>1031</v>
      </c>
      <c r="I534" s="5">
        <v>5.85</v>
      </c>
      <c r="J534" s="5">
        <v>965</v>
      </c>
      <c r="K534" s="5">
        <v>1088</v>
      </c>
    </row>
    <row r="535" spans="1:11" x14ac:dyDescent="0.3">
      <c r="A535" s="9" t="s">
        <v>1213</v>
      </c>
      <c r="B535" s="5" t="s">
        <v>1214</v>
      </c>
      <c r="C535" s="5">
        <v>174</v>
      </c>
      <c r="D535" s="5">
        <v>7977</v>
      </c>
      <c r="E535" s="5">
        <v>6866347000</v>
      </c>
      <c r="F535" s="5">
        <v>836</v>
      </c>
      <c r="G535" s="5">
        <v>870</v>
      </c>
      <c r="H535" s="5">
        <v>861</v>
      </c>
      <c r="I535" s="5">
        <v>2.99</v>
      </c>
      <c r="J535" s="5">
        <v>768</v>
      </c>
      <c r="K535" s="5">
        <v>895</v>
      </c>
    </row>
    <row r="536" spans="1:11" x14ac:dyDescent="0.3">
      <c r="A536" s="9" t="s">
        <v>1239</v>
      </c>
      <c r="B536" s="5" t="s">
        <v>1240</v>
      </c>
      <c r="C536" s="5">
        <v>26</v>
      </c>
      <c r="D536" s="5">
        <v>609</v>
      </c>
      <c r="E536" s="5">
        <v>422086000</v>
      </c>
      <c r="F536" s="5">
        <v>650</v>
      </c>
      <c r="G536" s="5">
        <v>796</v>
      </c>
      <c r="H536" s="5">
        <v>693</v>
      </c>
      <c r="I536" s="5">
        <v>6.62</v>
      </c>
      <c r="J536" s="5">
        <v>675</v>
      </c>
      <c r="K536" s="5">
        <v>796</v>
      </c>
    </row>
    <row r="537" spans="1:11" x14ac:dyDescent="0.3">
      <c r="A537" s="9" t="s">
        <v>1219</v>
      </c>
      <c r="B537" s="5" t="s">
        <v>1220</v>
      </c>
      <c r="C537" s="5">
        <v>2133</v>
      </c>
      <c r="D537" s="5">
        <v>239157</v>
      </c>
      <c r="E537" s="5">
        <v>137262063000</v>
      </c>
      <c r="F537" s="5">
        <v>520</v>
      </c>
      <c r="G537" s="5">
        <v>560</v>
      </c>
      <c r="H537" s="5">
        <v>574</v>
      </c>
      <c r="I537" s="5">
        <v>10.38</v>
      </c>
      <c r="J537" s="5">
        <v>522</v>
      </c>
      <c r="K537" s="5">
        <v>606</v>
      </c>
    </row>
    <row r="538" spans="1:11" x14ac:dyDescent="0.3">
      <c r="A538" s="9" t="s">
        <v>1221</v>
      </c>
      <c r="B538" s="5" t="s">
        <v>1222</v>
      </c>
      <c r="C538" s="5">
        <v>0</v>
      </c>
      <c r="D538" s="5">
        <v>0</v>
      </c>
      <c r="E538" s="5">
        <v>0</v>
      </c>
      <c r="F538" s="5">
        <v>1050</v>
      </c>
      <c r="G538" s="5">
        <v>0</v>
      </c>
      <c r="H538" s="5">
        <v>1050</v>
      </c>
      <c r="I538" s="5">
        <v>0</v>
      </c>
      <c r="J538" s="5">
        <v>0</v>
      </c>
      <c r="K538" s="5">
        <v>0</v>
      </c>
    </row>
    <row r="539" spans="1:11" x14ac:dyDescent="0.3">
      <c r="A539" s="9" t="s">
        <v>1209</v>
      </c>
      <c r="B539" s="5" t="s">
        <v>1210</v>
      </c>
      <c r="C539" s="5">
        <v>1</v>
      </c>
      <c r="D539" s="5">
        <v>1</v>
      </c>
      <c r="E539" s="5">
        <v>310000</v>
      </c>
      <c r="F539" s="5">
        <v>516</v>
      </c>
      <c r="G539" s="5">
        <v>310</v>
      </c>
      <c r="H539" s="5">
        <v>310</v>
      </c>
      <c r="I539" s="5">
        <v>-39.92</v>
      </c>
      <c r="J539" s="5">
        <v>310</v>
      </c>
      <c r="K539" s="5">
        <v>310</v>
      </c>
    </row>
    <row r="540" spans="1:11" x14ac:dyDescent="0.3">
      <c r="A540" s="9" t="s">
        <v>1336</v>
      </c>
      <c r="B540" s="5" t="s">
        <v>1337</v>
      </c>
      <c r="C540" s="5">
        <v>0</v>
      </c>
      <c r="D540" s="5">
        <v>0</v>
      </c>
      <c r="E540" s="5">
        <v>0</v>
      </c>
      <c r="F540" s="5">
        <v>840</v>
      </c>
      <c r="G540" s="5">
        <v>0</v>
      </c>
      <c r="H540" s="5">
        <v>840</v>
      </c>
      <c r="I540" s="5">
        <v>0</v>
      </c>
      <c r="J540" s="5">
        <v>0</v>
      </c>
      <c r="K540" s="5">
        <v>0</v>
      </c>
    </row>
    <row r="541" spans="1:11" x14ac:dyDescent="0.3">
      <c r="A541" s="9" t="s">
        <v>997</v>
      </c>
      <c r="B541" s="5" t="s">
        <v>998</v>
      </c>
      <c r="C541" s="5">
        <v>0</v>
      </c>
      <c r="D541" s="5">
        <v>0</v>
      </c>
      <c r="E541" s="5">
        <v>0</v>
      </c>
      <c r="F541" s="5">
        <v>1497</v>
      </c>
      <c r="G541" s="5">
        <v>0</v>
      </c>
      <c r="H541" s="5">
        <v>1497</v>
      </c>
      <c r="I541" s="5">
        <v>0</v>
      </c>
      <c r="J541" s="5">
        <v>0</v>
      </c>
      <c r="K541" s="5">
        <v>0</v>
      </c>
    </row>
    <row r="542" spans="1:11" x14ac:dyDescent="0.3">
      <c r="A542" s="9" t="s">
        <v>979</v>
      </c>
      <c r="B542" s="5" t="s">
        <v>980</v>
      </c>
      <c r="C542" s="5">
        <v>1</v>
      </c>
      <c r="D542" s="5">
        <v>1</v>
      </c>
      <c r="E542" s="5">
        <v>990000</v>
      </c>
      <c r="F542" s="5">
        <v>690</v>
      </c>
      <c r="G542" s="5">
        <v>990</v>
      </c>
      <c r="H542" s="5">
        <v>990</v>
      </c>
      <c r="I542" s="5">
        <v>43.48</v>
      </c>
      <c r="J542" s="5">
        <v>990</v>
      </c>
      <c r="K542" s="5">
        <v>990</v>
      </c>
    </row>
    <row r="543" spans="1:11" x14ac:dyDescent="0.3">
      <c r="A543" s="9" t="s">
        <v>995</v>
      </c>
      <c r="B543" s="5" t="s">
        <v>996</v>
      </c>
      <c r="C543" s="5">
        <v>60</v>
      </c>
      <c r="D543" s="5">
        <v>3764</v>
      </c>
      <c r="E543" s="5">
        <v>1540712000</v>
      </c>
      <c r="F543" s="5">
        <v>430</v>
      </c>
      <c r="G543" s="5">
        <v>480</v>
      </c>
      <c r="H543" s="5">
        <v>409</v>
      </c>
      <c r="I543" s="5">
        <v>-4.88</v>
      </c>
      <c r="J543" s="5">
        <v>325</v>
      </c>
      <c r="K543" s="5">
        <v>480</v>
      </c>
    </row>
    <row r="544" spans="1:11" x14ac:dyDescent="0.3">
      <c r="A544" s="9" t="s">
        <v>1838</v>
      </c>
      <c r="B544" s="5" t="s">
        <v>1839</v>
      </c>
      <c r="C544" s="5">
        <v>26</v>
      </c>
      <c r="D544" s="5">
        <v>1908</v>
      </c>
      <c r="E544" s="5">
        <v>863249000</v>
      </c>
      <c r="F544" s="5">
        <v>346</v>
      </c>
      <c r="G544" s="5">
        <v>1450</v>
      </c>
      <c r="H544" s="5">
        <v>452</v>
      </c>
      <c r="I544" s="5">
        <v>30.64</v>
      </c>
      <c r="J544" s="5">
        <v>401</v>
      </c>
      <c r="K544" s="5">
        <v>1450</v>
      </c>
    </row>
    <row r="545" spans="1:11" x14ac:dyDescent="0.3">
      <c r="A545" s="9" t="s">
        <v>1747</v>
      </c>
      <c r="B545" s="5" t="s">
        <v>1748</v>
      </c>
      <c r="C545" s="5">
        <v>416</v>
      </c>
      <c r="D545" s="5">
        <v>56416</v>
      </c>
      <c r="E545" s="5">
        <v>23115449000</v>
      </c>
      <c r="F545" s="5">
        <v>308</v>
      </c>
      <c r="G545" s="5">
        <v>430</v>
      </c>
      <c r="H545" s="5">
        <v>410</v>
      </c>
      <c r="I545" s="5">
        <v>33.119999999999997</v>
      </c>
      <c r="J545" s="5">
        <v>371</v>
      </c>
      <c r="K545" s="5">
        <v>430</v>
      </c>
    </row>
    <row r="546" spans="1:11" x14ac:dyDescent="0.3">
      <c r="A546" s="9" t="s">
        <v>1749</v>
      </c>
      <c r="B546" s="5" t="s">
        <v>1750</v>
      </c>
      <c r="C546" s="5">
        <v>13</v>
      </c>
      <c r="D546" s="5">
        <v>1349</v>
      </c>
      <c r="E546" s="5">
        <v>416390000</v>
      </c>
      <c r="F546" s="5">
        <v>217</v>
      </c>
      <c r="G546" s="5">
        <v>370</v>
      </c>
      <c r="H546" s="5">
        <v>309</v>
      </c>
      <c r="I546" s="5">
        <v>42.4</v>
      </c>
      <c r="J546" s="5">
        <v>240</v>
      </c>
      <c r="K546" s="5">
        <v>370</v>
      </c>
    </row>
    <row r="547" spans="1:11" x14ac:dyDescent="0.3">
      <c r="A547" s="9" t="s">
        <v>1751</v>
      </c>
      <c r="B547" s="5" t="s">
        <v>1752</v>
      </c>
      <c r="C547" s="5">
        <v>36</v>
      </c>
      <c r="D547" s="5">
        <v>2665</v>
      </c>
      <c r="E547" s="5">
        <v>678624000</v>
      </c>
      <c r="F547" s="5">
        <v>166</v>
      </c>
      <c r="G547" s="5">
        <v>350</v>
      </c>
      <c r="H547" s="5">
        <v>255</v>
      </c>
      <c r="I547" s="5">
        <v>53.61</v>
      </c>
      <c r="J547" s="5">
        <v>230</v>
      </c>
      <c r="K547" s="5">
        <v>350</v>
      </c>
    </row>
    <row r="548" spans="1:11" x14ac:dyDescent="0.3">
      <c r="A548" s="9" t="s">
        <v>1753</v>
      </c>
      <c r="B548" s="5" t="s">
        <v>1754</v>
      </c>
      <c r="C548" s="5">
        <v>4</v>
      </c>
      <c r="D548" s="5">
        <v>482</v>
      </c>
      <c r="E548" s="5">
        <v>85787000</v>
      </c>
      <c r="F548" s="5">
        <v>113</v>
      </c>
      <c r="G548" s="5">
        <v>350</v>
      </c>
      <c r="H548" s="5">
        <v>178</v>
      </c>
      <c r="I548" s="5">
        <v>57.52</v>
      </c>
      <c r="J548" s="5">
        <v>177</v>
      </c>
      <c r="K548" s="5">
        <v>350</v>
      </c>
    </row>
    <row r="549" spans="1:11" x14ac:dyDescent="0.3">
      <c r="A549" s="9" t="s">
        <v>1755</v>
      </c>
      <c r="B549" s="5" t="s">
        <v>1756</v>
      </c>
      <c r="C549" s="5">
        <v>8</v>
      </c>
      <c r="D549" s="5">
        <v>157</v>
      </c>
      <c r="E549" s="5">
        <v>33937000</v>
      </c>
      <c r="F549" s="5">
        <v>104</v>
      </c>
      <c r="G549" s="5">
        <v>248</v>
      </c>
      <c r="H549" s="5">
        <v>216</v>
      </c>
      <c r="I549" s="5">
        <v>107.69</v>
      </c>
      <c r="J549" s="5">
        <v>215</v>
      </c>
      <c r="K549" s="5">
        <v>248</v>
      </c>
    </row>
    <row r="550" spans="1:11" x14ac:dyDescent="0.3">
      <c r="A550" s="9" t="s">
        <v>1757</v>
      </c>
      <c r="B550" s="5" t="s">
        <v>1758</v>
      </c>
      <c r="C550" s="5">
        <v>1</v>
      </c>
      <c r="D550" s="5">
        <v>150</v>
      </c>
      <c r="E550" s="5">
        <v>21750000</v>
      </c>
      <c r="F550" s="5">
        <v>90</v>
      </c>
      <c r="G550" s="5">
        <v>145</v>
      </c>
      <c r="H550" s="5">
        <v>145</v>
      </c>
      <c r="I550" s="5">
        <v>61.11</v>
      </c>
      <c r="J550" s="5">
        <v>145</v>
      </c>
      <c r="K550" s="5">
        <v>145</v>
      </c>
    </row>
    <row r="551" spans="1:11" x14ac:dyDescent="0.3">
      <c r="A551" s="9" t="s">
        <v>1759</v>
      </c>
      <c r="B551" s="5" t="s">
        <v>1760</v>
      </c>
      <c r="C551" s="5">
        <v>3</v>
      </c>
      <c r="D551" s="5">
        <v>1100</v>
      </c>
      <c r="E551" s="5">
        <v>186515000</v>
      </c>
      <c r="F551" s="5">
        <v>90</v>
      </c>
      <c r="G551" s="5">
        <v>180</v>
      </c>
      <c r="H551" s="5">
        <v>170</v>
      </c>
      <c r="I551" s="5">
        <v>88.89</v>
      </c>
      <c r="J551" s="5">
        <v>165</v>
      </c>
      <c r="K551" s="5">
        <v>180</v>
      </c>
    </row>
    <row r="552" spans="1:11" x14ac:dyDescent="0.3">
      <c r="A552" s="9" t="s">
        <v>1259</v>
      </c>
      <c r="B552" s="5" t="s">
        <v>1260</v>
      </c>
      <c r="C552" s="5">
        <v>9</v>
      </c>
      <c r="D552" s="5">
        <v>471</v>
      </c>
      <c r="E552" s="5">
        <v>561377230</v>
      </c>
      <c r="F552" s="5">
        <v>809</v>
      </c>
      <c r="G552" s="5">
        <v>998</v>
      </c>
      <c r="H552" s="5">
        <v>1036</v>
      </c>
      <c r="I552" s="5">
        <v>28.06</v>
      </c>
      <c r="J552" s="5">
        <v>950</v>
      </c>
      <c r="K552" s="5">
        <v>1148</v>
      </c>
    </row>
    <row r="553" spans="1:11" x14ac:dyDescent="0.3">
      <c r="A553" s="9" t="s">
        <v>985</v>
      </c>
      <c r="B553" s="5" t="s">
        <v>986</v>
      </c>
      <c r="C553" s="5">
        <v>1</v>
      </c>
      <c r="D553" s="5">
        <v>1</v>
      </c>
      <c r="E553" s="5">
        <v>1151000</v>
      </c>
      <c r="F553" s="5">
        <v>327</v>
      </c>
      <c r="G553" s="5">
        <v>1000</v>
      </c>
      <c r="H553" s="5">
        <v>1000</v>
      </c>
      <c r="I553" s="5">
        <v>205.81</v>
      </c>
      <c r="J553" s="5">
        <v>1000</v>
      </c>
      <c r="K553" s="5">
        <v>1000</v>
      </c>
    </row>
    <row r="554" spans="1:11" x14ac:dyDescent="0.3">
      <c r="A554" s="9" t="s">
        <v>1376</v>
      </c>
      <c r="B554" s="5" t="s">
        <v>1377</v>
      </c>
      <c r="C554" s="5">
        <v>0</v>
      </c>
      <c r="D554" s="5">
        <v>0</v>
      </c>
      <c r="E554" s="5">
        <v>0</v>
      </c>
      <c r="F554" s="5">
        <v>109</v>
      </c>
      <c r="G554" s="5">
        <v>0</v>
      </c>
      <c r="H554" s="5">
        <v>109</v>
      </c>
      <c r="I554" s="5">
        <v>0</v>
      </c>
      <c r="J554" s="5">
        <v>0</v>
      </c>
      <c r="K554" s="5">
        <v>0</v>
      </c>
    </row>
    <row r="555" spans="1:11" x14ac:dyDescent="0.3">
      <c r="A555" s="9" t="s">
        <v>1148</v>
      </c>
      <c r="B555" s="5" t="s">
        <v>1149</v>
      </c>
      <c r="C555" s="5">
        <v>6</v>
      </c>
      <c r="D555" s="5">
        <v>70</v>
      </c>
      <c r="E555" s="5">
        <v>572455000</v>
      </c>
      <c r="F555" s="5">
        <v>7794</v>
      </c>
      <c r="G555" s="5">
        <v>8099</v>
      </c>
      <c r="H555" s="5">
        <v>8178</v>
      </c>
      <c r="I555" s="5">
        <v>4.93</v>
      </c>
      <c r="J555" s="5">
        <v>8099</v>
      </c>
      <c r="K555" s="5">
        <v>8190</v>
      </c>
    </row>
    <row r="556" spans="1:11" x14ac:dyDescent="0.3">
      <c r="A556" s="9" t="s">
        <v>1150</v>
      </c>
      <c r="B556" s="5" t="s">
        <v>1151</v>
      </c>
      <c r="C556" s="5">
        <v>6</v>
      </c>
      <c r="D556" s="5">
        <v>1019</v>
      </c>
      <c r="E556" s="5">
        <v>5094981000</v>
      </c>
      <c r="F556" s="5">
        <v>3335</v>
      </c>
      <c r="G556" s="5">
        <v>5499</v>
      </c>
      <c r="H556" s="5">
        <v>5000</v>
      </c>
      <c r="I556" s="5">
        <v>49.93</v>
      </c>
      <c r="J556" s="5">
        <v>4999</v>
      </c>
      <c r="K556" s="5">
        <v>5000</v>
      </c>
    </row>
    <row r="557" spans="1:11" x14ac:dyDescent="0.3">
      <c r="A557" s="9" t="s">
        <v>1269</v>
      </c>
      <c r="B557" s="5" t="s">
        <v>1270</v>
      </c>
      <c r="C557" s="5">
        <v>2</v>
      </c>
      <c r="D557" s="5">
        <v>114</v>
      </c>
      <c r="E557" s="5">
        <v>165300000</v>
      </c>
      <c r="F557" s="5">
        <v>1348</v>
      </c>
      <c r="G557" s="5">
        <v>1450</v>
      </c>
      <c r="H557" s="5">
        <v>1450</v>
      </c>
      <c r="I557" s="5">
        <v>7.57</v>
      </c>
      <c r="J557" s="5">
        <v>1450</v>
      </c>
      <c r="K557" s="5">
        <v>1450</v>
      </c>
    </row>
    <row r="558" spans="1:11" x14ac:dyDescent="0.3">
      <c r="A558" s="9" t="s">
        <v>1132</v>
      </c>
      <c r="B558" s="5" t="s">
        <v>1133</v>
      </c>
      <c r="C558" s="5">
        <v>2</v>
      </c>
      <c r="D558" s="5">
        <v>10</v>
      </c>
      <c r="E558" s="5">
        <v>11160000</v>
      </c>
      <c r="F558" s="5">
        <v>1181</v>
      </c>
      <c r="G558" s="5">
        <v>1116</v>
      </c>
      <c r="H558" s="5">
        <v>1116</v>
      </c>
      <c r="I558" s="5">
        <v>-5.5</v>
      </c>
      <c r="J558" s="5">
        <v>1116</v>
      </c>
      <c r="K558" s="5">
        <v>1116</v>
      </c>
    </row>
    <row r="559" spans="1:11" x14ac:dyDescent="0.3">
      <c r="A559" s="9" t="s">
        <v>1495</v>
      </c>
      <c r="B559" s="5" t="s">
        <v>1496</v>
      </c>
      <c r="C559" s="5">
        <v>31</v>
      </c>
      <c r="D559" s="5">
        <v>28020</v>
      </c>
      <c r="E559" s="5">
        <v>27510220000</v>
      </c>
      <c r="F559" s="5">
        <v>860</v>
      </c>
      <c r="G559" s="5">
        <v>980</v>
      </c>
      <c r="H559" s="5">
        <v>982</v>
      </c>
      <c r="I559" s="5">
        <v>14.19</v>
      </c>
      <c r="J559" s="5">
        <v>980</v>
      </c>
      <c r="K559" s="5">
        <v>1011</v>
      </c>
    </row>
    <row r="560" spans="1:11" x14ac:dyDescent="0.3">
      <c r="A560" s="9" t="s">
        <v>1158</v>
      </c>
      <c r="B560" s="5" t="s">
        <v>1159</v>
      </c>
      <c r="C560" s="5">
        <v>0</v>
      </c>
      <c r="D560" s="5">
        <v>0</v>
      </c>
      <c r="E560" s="5">
        <v>0</v>
      </c>
      <c r="F560" s="5">
        <v>1023</v>
      </c>
      <c r="G560" s="5">
        <v>0</v>
      </c>
      <c r="H560" s="5">
        <v>1023</v>
      </c>
      <c r="I560" s="5">
        <v>0</v>
      </c>
      <c r="J560" s="5">
        <v>0</v>
      </c>
      <c r="K560" s="5">
        <v>0</v>
      </c>
    </row>
    <row r="561" spans="1:11" x14ac:dyDescent="0.3">
      <c r="A561" s="9" t="s">
        <v>1167</v>
      </c>
      <c r="B561" s="5" t="s">
        <v>1168</v>
      </c>
      <c r="C561" s="5">
        <v>94</v>
      </c>
      <c r="D561" s="5">
        <v>8467</v>
      </c>
      <c r="E561" s="5">
        <v>7968611000</v>
      </c>
      <c r="F561" s="5">
        <v>888</v>
      </c>
      <c r="G561" s="5">
        <v>880</v>
      </c>
      <c r="H561" s="5">
        <v>941</v>
      </c>
      <c r="I561" s="5">
        <v>5.97</v>
      </c>
      <c r="J561" s="5">
        <v>880</v>
      </c>
      <c r="K561" s="5">
        <v>999</v>
      </c>
    </row>
    <row r="562" spans="1:11" x14ac:dyDescent="0.3">
      <c r="A562" s="9" t="s">
        <v>1134</v>
      </c>
      <c r="B562" s="5" t="s">
        <v>1135</v>
      </c>
      <c r="C562" s="5">
        <v>125</v>
      </c>
      <c r="D562" s="5">
        <v>14470</v>
      </c>
      <c r="E562" s="5">
        <v>12309282000</v>
      </c>
      <c r="F562" s="5">
        <v>815</v>
      </c>
      <c r="G562" s="5">
        <v>889</v>
      </c>
      <c r="H562" s="5">
        <v>851</v>
      </c>
      <c r="I562" s="5">
        <v>4.42</v>
      </c>
      <c r="J562" s="5">
        <v>795</v>
      </c>
      <c r="K562" s="5">
        <v>948</v>
      </c>
    </row>
    <row r="563" spans="1:11" x14ac:dyDescent="0.3">
      <c r="A563" s="9" t="s">
        <v>1136</v>
      </c>
      <c r="B563" s="5" t="s">
        <v>1137</v>
      </c>
      <c r="C563" s="5">
        <v>879</v>
      </c>
      <c r="D563" s="5">
        <v>79839</v>
      </c>
      <c r="E563" s="5">
        <v>60097884000</v>
      </c>
      <c r="F563" s="5">
        <v>704</v>
      </c>
      <c r="G563" s="5">
        <v>760</v>
      </c>
      <c r="H563" s="5">
        <v>753</v>
      </c>
      <c r="I563" s="5">
        <v>6.96</v>
      </c>
      <c r="J563" s="5">
        <v>685</v>
      </c>
      <c r="K563" s="5">
        <v>840</v>
      </c>
    </row>
    <row r="564" spans="1:11" x14ac:dyDescent="0.3">
      <c r="A564" s="9" t="s">
        <v>1138</v>
      </c>
      <c r="B564" s="5" t="s">
        <v>1139</v>
      </c>
      <c r="C564" s="5">
        <v>289</v>
      </c>
      <c r="D564" s="5">
        <v>25446</v>
      </c>
      <c r="E564" s="5">
        <v>15663349000</v>
      </c>
      <c r="F564" s="5">
        <v>581</v>
      </c>
      <c r="G564" s="5">
        <v>650</v>
      </c>
      <c r="H564" s="5">
        <v>616</v>
      </c>
      <c r="I564" s="5">
        <v>6.02</v>
      </c>
      <c r="J564" s="5">
        <v>556</v>
      </c>
      <c r="K564" s="5">
        <v>734</v>
      </c>
    </row>
    <row r="565" spans="1:11" x14ac:dyDescent="0.3">
      <c r="A565" s="9" t="s">
        <v>1146</v>
      </c>
      <c r="B565" s="5" t="s">
        <v>1147</v>
      </c>
      <c r="C565" s="5">
        <v>104</v>
      </c>
      <c r="D565" s="5">
        <v>6520</v>
      </c>
      <c r="E565" s="5">
        <v>3513260000</v>
      </c>
      <c r="F565" s="5">
        <v>492</v>
      </c>
      <c r="G565" s="5">
        <v>540</v>
      </c>
      <c r="H565" s="5">
        <v>539</v>
      </c>
      <c r="I565" s="5">
        <v>9.5500000000000007</v>
      </c>
      <c r="J565" s="5">
        <v>500</v>
      </c>
      <c r="K565" s="5">
        <v>601</v>
      </c>
    </row>
    <row r="566" spans="1:11" x14ac:dyDescent="0.3">
      <c r="A566" s="9" t="s">
        <v>1156</v>
      </c>
      <c r="B566" s="5" t="s">
        <v>1157</v>
      </c>
      <c r="C566" s="5">
        <v>44</v>
      </c>
      <c r="D566" s="5">
        <v>2089</v>
      </c>
      <c r="E566" s="5">
        <v>946387000</v>
      </c>
      <c r="F566" s="5">
        <v>374</v>
      </c>
      <c r="G566" s="5">
        <v>420</v>
      </c>
      <c r="H566" s="5">
        <v>453</v>
      </c>
      <c r="I566" s="5">
        <v>21.12</v>
      </c>
      <c r="J566" s="5">
        <v>376</v>
      </c>
      <c r="K566" s="5">
        <v>500</v>
      </c>
    </row>
    <row r="567" spans="1:11" x14ac:dyDescent="0.3">
      <c r="A567" s="9" t="s">
        <v>1512</v>
      </c>
      <c r="B567" s="5" t="s">
        <v>1513</v>
      </c>
      <c r="C567" s="5">
        <v>88</v>
      </c>
      <c r="D567" s="5">
        <v>5601</v>
      </c>
      <c r="E567" s="5">
        <v>1948346000</v>
      </c>
      <c r="F567" s="5">
        <v>324</v>
      </c>
      <c r="G567" s="5">
        <v>300</v>
      </c>
      <c r="H567" s="5">
        <v>348</v>
      </c>
      <c r="I567" s="5">
        <v>7.41</v>
      </c>
      <c r="J567" s="5">
        <v>100</v>
      </c>
      <c r="K567" s="5">
        <v>400</v>
      </c>
    </row>
    <row r="568" spans="1:11" x14ac:dyDescent="0.3">
      <c r="A568" s="9" t="s">
        <v>1140</v>
      </c>
      <c r="B568" s="5" t="s">
        <v>1141</v>
      </c>
      <c r="C568" s="5">
        <v>258</v>
      </c>
      <c r="D568" s="5">
        <v>36628</v>
      </c>
      <c r="E568" s="5">
        <v>9843553000</v>
      </c>
      <c r="F568" s="5">
        <v>242</v>
      </c>
      <c r="G568" s="5">
        <v>390</v>
      </c>
      <c r="H568" s="5">
        <v>269</v>
      </c>
      <c r="I568" s="5">
        <v>11.16</v>
      </c>
      <c r="J568" s="5">
        <v>170</v>
      </c>
      <c r="K568" s="5">
        <v>390</v>
      </c>
    </row>
    <row r="569" spans="1:11" x14ac:dyDescent="0.3">
      <c r="A569" s="9" t="s">
        <v>1514</v>
      </c>
      <c r="B569" s="5" t="s">
        <v>1515</v>
      </c>
      <c r="C569" s="5">
        <v>66</v>
      </c>
      <c r="D569" s="5">
        <v>4018</v>
      </c>
      <c r="E569" s="5">
        <v>5934893000</v>
      </c>
      <c r="F569" s="5">
        <v>1459</v>
      </c>
      <c r="G569" s="5">
        <v>1500</v>
      </c>
      <c r="H569" s="5">
        <v>1477</v>
      </c>
      <c r="I569" s="5">
        <v>1.23</v>
      </c>
      <c r="J569" s="5">
        <v>1361</v>
      </c>
      <c r="K569" s="5">
        <v>1510</v>
      </c>
    </row>
    <row r="570" spans="1:11" x14ac:dyDescent="0.3">
      <c r="A570" s="9" t="s">
        <v>1516</v>
      </c>
      <c r="B570" s="5" t="s">
        <v>1517</v>
      </c>
      <c r="C570" s="5">
        <v>0</v>
      </c>
      <c r="D570" s="5">
        <v>0</v>
      </c>
      <c r="E570" s="5">
        <v>0</v>
      </c>
      <c r="F570" s="5">
        <v>1588</v>
      </c>
      <c r="G570" s="5">
        <v>0</v>
      </c>
      <c r="H570" s="5">
        <v>1588</v>
      </c>
      <c r="I570" s="5">
        <v>0</v>
      </c>
      <c r="J570" s="5">
        <v>0</v>
      </c>
      <c r="K570" s="5">
        <v>0</v>
      </c>
    </row>
    <row r="571" spans="1:11" x14ac:dyDescent="0.3">
      <c r="A571" s="9" t="s">
        <v>1518</v>
      </c>
      <c r="B571" s="5" t="s">
        <v>1519</v>
      </c>
      <c r="C571" s="5">
        <v>0</v>
      </c>
      <c r="D571" s="5">
        <v>0</v>
      </c>
      <c r="E571" s="5">
        <v>0</v>
      </c>
      <c r="F571" s="5">
        <v>1043</v>
      </c>
      <c r="G571" s="5">
        <v>0</v>
      </c>
      <c r="H571" s="5">
        <v>1043</v>
      </c>
      <c r="I571" s="5">
        <v>0</v>
      </c>
      <c r="J571" s="5">
        <v>0</v>
      </c>
      <c r="K571" s="5">
        <v>0</v>
      </c>
    </row>
    <row r="572" spans="1:11" x14ac:dyDescent="0.3">
      <c r="A572" s="9" t="s">
        <v>1249</v>
      </c>
      <c r="B572" s="5" t="s">
        <v>1250</v>
      </c>
      <c r="C572" s="5">
        <v>40</v>
      </c>
      <c r="D572" s="5">
        <v>2021</v>
      </c>
      <c r="E572" s="5">
        <v>2232726000</v>
      </c>
      <c r="F572" s="5">
        <v>1163</v>
      </c>
      <c r="G572" s="5">
        <v>1496</v>
      </c>
      <c r="H572" s="5">
        <v>1105</v>
      </c>
      <c r="I572" s="5">
        <v>-4.99</v>
      </c>
      <c r="J572" s="5">
        <v>1001</v>
      </c>
      <c r="K572" s="5">
        <v>1496</v>
      </c>
    </row>
    <row r="573" spans="1:11" x14ac:dyDescent="0.3">
      <c r="A573" s="9" t="s">
        <v>1510</v>
      </c>
      <c r="B573" s="5" t="s">
        <v>1511</v>
      </c>
      <c r="C573" s="5">
        <v>0</v>
      </c>
      <c r="D573" s="5">
        <v>0</v>
      </c>
      <c r="E573" s="5">
        <v>0</v>
      </c>
      <c r="F573" s="5">
        <v>650</v>
      </c>
      <c r="G573" s="5">
        <v>0</v>
      </c>
      <c r="H573" s="5">
        <v>650</v>
      </c>
      <c r="I573" s="5">
        <v>0</v>
      </c>
      <c r="J573" s="5">
        <v>0</v>
      </c>
      <c r="K573" s="5">
        <v>0</v>
      </c>
    </row>
    <row r="574" spans="1:11" x14ac:dyDescent="0.3">
      <c r="A574" s="9" t="s">
        <v>1520</v>
      </c>
      <c r="B574" s="5" t="s">
        <v>1521</v>
      </c>
      <c r="C574" s="5">
        <v>0</v>
      </c>
      <c r="D574" s="5">
        <v>0</v>
      </c>
      <c r="E574" s="5">
        <v>0</v>
      </c>
      <c r="F574" s="5">
        <v>701</v>
      </c>
      <c r="G574" s="5">
        <v>0</v>
      </c>
      <c r="H574" s="5">
        <v>701</v>
      </c>
      <c r="I574" s="5">
        <v>0</v>
      </c>
      <c r="J574" s="5">
        <v>0</v>
      </c>
      <c r="K574" s="5">
        <v>0</v>
      </c>
    </row>
    <row r="575" spans="1:11" x14ac:dyDescent="0.3">
      <c r="A575" s="9" t="s">
        <v>1522</v>
      </c>
      <c r="B575" s="5" t="s">
        <v>1523</v>
      </c>
      <c r="C575" s="5">
        <v>17</v>
      </c>
      <c r="D575" s="5">
        <v>606</v>
      </c>
      <c r="E575" s="5">
        <v>305907000</v>
      </c>
      <c r="F575" s="5">
        <v>449</v>
      </c>
      <c r="G575" s="5">
        <v>600</v>
      </c>
      <c r="H575" s="5">
        <v>505</v>
      </c>
      <c r="I575" s="5">
        <v>12.47</v>
      </c>
      <c r="J575" s="5">
        <v>400</v>
      </c>
      <c r="K575" s="5">
        <v>799</v>
      </c>
    </row>
    <row r="576" spans="1:11" x14ac:dyDescent="0.3">
      <c r="A576" s="9" t="s">
        <v>1251</v>
      </c>
      <c r="B576" s="5" t="s">
        <v>1252</v>
      </c>
      <c r="C576" s="5">
        <v>29</v>
      </c>
      <c r="D576" s="5">
        <v>2034</v>
      </c>
      <c r="E576" s="5">
        <v>1063167000</v>
      </c>
      <c r="F576" s="5">
        <v>559</v>
      </c>
      <c r="G576" s="5">
        <v>600</v>
      </c>
      <c r="H576" s="5">
        <v>523</v>
      </c>
      <c r="I576" s="5">
        <v>-6.44</v>
      </c>
      <c r="J576" s="5">
        <v>500</v>
      </c>
      <c r="K576" s="5">
        <v>600</v>
      </c>
    </row>
    <row r="577" spans="1:11" x14ac:dyDescent="0.3">
      <c r="A577" s="9" t="s">
        <v>1615</v>
      </c>
      <c r="B577" s="5" t="s">
        <v>1616</v>
      </c>
      <c r="C577" s="5">
        <v>1</v>
      </c>
      <c r="D577" s="5">
        <v>30</v>
      </c>
      <c r="E577" s="5">
        <v>23400000</v>
      </c>
      <c r="F577" s="5">
        <v>589</v>
      </c>
      <c r="G577" s="5">
        <v>780</v>
      </c>
      <c r="H577" s="5">
        <v>780</v>
      </c>
      <c r="I577" s="5">
        <v>32.43</v>
      </c>
      <c r="J577" s="5">
        <v>780</v>
      </c>
      <c r="K577" s="5">
        <v>780</v>
      </c>
    </row>
    <row r="578" spans="1:11" x14ac:dyDescent="0.3">
      <c r="A578" s="9" t="s">
        <v>802</v>
      </c>
      <c r="B578" s="5" t="s">
        <v>803</v>
      </c>
      <c r="C578" s="5">
        <v>1</v>
      </c>
      <c r="D578" s="5">
        <v>20</v>
      </c>
      <c r="E578" s="5">
        <v>13000000</v>
      </c>
      <c r="F578" s="5">
        <v>650</v>
      </c>
      <c r="G578" s="5">
        <v>650</v>
      </c>
      <c r="H578" s="5">
        <v>650</v>
      </c>
      <c r="I578" s="5">
        <v>0</v>
      </c>
      <c r="J578" s="5">
        <v>650</v>
      </c>
      <c r="K578" s="5">
        <v>650</v>
      </c>
    </row>
    <row r="579" spans="1:11" x14ac:dyDescent="0.3">
      <c r="A579" s="9" t="s">
        <v>800</v>
      </c>
      <c r="B579" s="5" t="s">
        <v>801</v>
      </c>
      <c r="C579" s="5">
        <v>8</v>
      </c>
      <c r="D579" s="5">
        <v>553</v>
      </c>
      <c r="E579" s="5">
        <v>263062000</v>
      </c>
      <c r="F579" s="5">
        <v>496</v>
      </c>
      <c r="G579" s="5">
        <v>461</v>
      </c>
      <c r="H579" s="5">
        <v>476</v>
      </c>
      <c r="I579" s="5">
        <v>-4.03</v>
      </c>
      <c r="J579" s="5">
        <v>461</v>
      </c>
      <c r="K579" s="5">
        <v>505</v>
      </c>
    </row>
    <row r="580" spans="1:11" x14ac:dyDescent="0.3">
      <c r="A580" s="9" t="s">
        <v>794</v>
      </c>
      <c r="B580" s="5" t="s">
        <v>795</v>
      </c>
      <c r="C580" s="5">
        <v>97</v>
      </c>
      <c r="D580" s="5">
        <v>10494</v>
      </c>
      <c r="E580" s="5">
        <v>4250119000</v>
      </c>
      <c r="F580" s="5">
        <v>388</v>
      </c>
      <c r="G580" s="5">
        <v>420</v>
      </c>
      <c r="H580" s="5">
        <v>405</v>
      </c>
      <c r="I580" s="5">
        <v>4.38</v>
      </c>
      <c r="J580" s="5">
        <v>380</v>
      </c>
      <c r="K580" s="5">
        <v>430</v>
      </c>
    </row>
    <row r="581" spans="1:11" x14ac:dyDescent="0.3">
      <c r="A581" s="9" t="s">
        <v>796</v>
      </c>
      <c r="B581" s="5" t="s">
        <v>797</v>
      </c>
      <c r="C581" s="5">
        <v>185</v>
      </c>
      <c r="D581" s="5">
        <v>51378</v>
      </c>
      <c r="E581" s="5">
        <v>15728879000</v>
      </c>
      <c r="F581" s="5">
        <v>310</v>
      </c>
      <c r="G581" s="5">
        <v>300</v>
      </c>
      <c r="H581" s="5">
        <v>306</v>
      </c>
      <c r="I581" s="5">
        <v>-1.29</v>
      </c>
      <c r="J581" s="5">
        <v>290</v>
      </c>
      <c r="K581" s="5">
        <v>333</v>
      </c>
    </row>
    <row r="582" spans="1:11" x14ac:dyDescent="0.3">
      <c r="A582" s="9" t="s">
        <v>804</v>
      </c>
      <c r="B582" s="5" t="s">
        <v>805</v>
      </c>
      <c r="C582" s="5">
        <v>228</v>
      </c>
      <c r="D582" s="5">
        <v>50286</v>
      </c>
      <c r="E582" s="5">
        <v>11096928000</v>
      </c>
      <c r="F582" s="5">
        <v>206</v>
      </c>
      <c r="G582" s="5">
        <v>269</v>
      </c>
      <c r="H582" s="5">
        <v>221</v>
      </c>
      <c r="I582" s="5">
        <v>7.28</v>
      </c>
      <c r="J582" s="5">
        <v>201</v>
      </c>
      <c r="K582" s="5">
        <v>269</v>
      </c>
    </row>
    <row r="583" spans="1:11" x14ac:dyDescent="0.3">
      <c r="A583" s="9" t="s">
        <v>806</v>
      </c>
      <c r="B583" s="5" t="s">
        <v>807</v>
      </c>
      <c r="C583" s="5">
        <v>777</v>
      </c>
      <c r="D583" s="5">
        <v>210689</v>
      </c>
      <c r="E583" s="5">
        <v>28424328000</v>
      </c>
      <c r="F583" s="5">
        <v>124</v>
      </c>
      <c r="G583" s="5">
        <v>155</v>
      </c>
      <c r="H583" s="5">
        <v>135</v>
      </c>
      <c r="I583" s="5">
        <v>8.8699999999999992</v>
      </c>
      <c r="J583" s="5">
        <v>116</v>
      </c>
      <c r="K583" s="5">
        <v>155</v>
      </c>
    </row>
    <row r="584" spans="1:11" x14ac:dyDescent="0.3">
      <c r="A584" s="9" t="s">
        <v>1732</v>
      </c>
      <c r="B584" s="5" t="s">
        <v>1733</v>
      </c>
      <c r="C584" s="5">
        <v>23</v>
      </c>
      <c r="D584" s="5">
        <v>2758</v>
      </c>
      <c r="E584" s="5">
        <v>2724218000</v>
      </c>
      <c r="F584" s="5">
        <v>985</v>
      </c>
      <c r="G584" s="5">
        <v>1000</v>
      </c>
      <c r="H584" s="5">
        <v>988</v>
      </c>
      <c r="I584" s="5">
        <v>0.3</v>
      </c>
      <c r="J584" s="5">
        <v>886</v>
      </c>
      <c r="K584" s="5">
        <v>1200</v>
      </c>
    </row>
    <row r="585" spans="1:11" x14ac:dyDescent="0.3">
      <c r="A585" s="9" t="s">
        <v>1419</v>
      </c>
      <c r="B585" s="5" t="s">
        <v>1420</v>
      </c>
      <c r="C585" s="5">
        <v>0</v>
      </c>
      <c r="D585" s="5">
        <v>0</v>
      </c>
      <c r="E585" s="5">
        <v>0</v>
      </c>
      <c r="F585" s="5">
        <v>184</v>
      </c>
      <c r="G585" s="5">
        <v>0</v>
      </c>
      <c r="H585" s="5">
        <v>184</v>
      </c>
      <c r="I585" s="5">
        <v>0</v>
      </c>
      <c r="J585" s="5">
        <v>0</v>
      </c>
      <c r="K585" s="5">
        <v>0</v>
      </c>
    </row>
    <row r="586" spans="1:11" x14ac:dyDescent="0.3">
      <c r="A586" s="9" t="s">
        <v>1423</v>
      </c>
      <c r="B586" s="5" t="s">
        <v>1424</v>
      </c>
      <c r="C586" s="5">
        <v>0</v>
      </c>
      <c r="D586" s="5">
        <v>0</v>
      </c>
      <c r="E586" s="5">
        <v>0</v>
      </c>
      <c r="F586" s="5">
        <v>508</v>
      </c>
      <c r="G586" s="5">
        <v>0</v>
      </c>
      <c r="H586" s="5">
        <v>508</v>
      </c>
      <c r="I586" s="5">
        <v>0</v>
      </c>
      <c r="J586" s="5">
        <v>0</v>
      </c>
      <c r="K586" s="5">
        <v>0</v>
      </c>
    </row>
    <row r="587" spans="1:11" x14ac:dyDescent="0.3">
      <c r="A587" s="9" t="s">
        <v>1425</v>
      </c>
      <c r="B587" s="5" t="s">
        <v>1426</v>
      </c>
      <c r="C587" s="5">
        <v>3</v>
      </c>
      <c r="D587" s="5">
        <v>10</v>
      </c>
      <c r="E587" s="5">
        <v>5600000</v>
      </c>
      <c r="F587" s="5">
        <v>500</v>
      </c>
      <c r="G587" s="5">
        <v>600</v>
      </c>
      <c r="H587" s="5">
        <v>560</v>
      </c>
      <c r="I587" s="5">
        <v>12</v>
      </c>
      <c r="J587" s="5">
        <v>550</v>
      </c>
      <c r="K587" s="5">
        <v>600</v>
      </c>
    </row>
    <row r="588" spans="1:11" x14ac:dyDescent="0.3">
      <c r="A588" s="9" t="s">
        <v>1427</v>
      </c>
      <c r="B588" s="5" t="s">
        <v>1428</v>
      </c>
      <c r="C588" s="5">
        <v>0</v>
      </c>
      <c r="D588" s="5">
        <v>0</v>
      </c>
      <c r="E588" s="5">
        <v>0</v>
      </c>
      <c r="F588" s="5">
        <v>436</v>
      </c>
      <c r="G588" s="5">
        <v>0</v>
      </c>
      <c r="H588" s="5">
        <v>436</v>
      </c>
      <c r="I588" s="5">
        <v>0</v>
      </c>
      <c r="J588" s="5">
        <v>0</v>
      </c>
      <c r="K588" s="5">
        <v>0</v>
      </c>
    </row>
    <row r="589" spans="1:11" x14ac:dyDescent="0.3">
      <c r="A589" s="9" t="s">
        <v>1032</v>
      </c>
      <c r="B589" s="5" t="s">
        <v>1033</v>
      </c>
      <c r="C589" s="5">
        <v>0</v>
      </c>
      <c r="D589" s="5">
        <v>0</v>
      </c>
      <c r="E589" s="5">
        <v>0</v>
      </c>
      <c r="F589" s="5">
        <v>530</v>
      </c>
      <c r="G589" s="5">
        <v>0</v>
      </c>
      <c r="H589" s="5">
        <v>530</v>
      </c>
      <c r="I589" s="5">
        <v>0</v>
      </c>
      <c r="J589" s="5">
        <v>0</v>
      </c>
      <c r="K589" s="5">
        <v>0</v>
      </c>
    </row>
    <row r="590" spans="1:11" x14ac:dyDescent="0.3">
      <c r="A590" s="9" t="s">
        <v>1253</v>
      </c>
      <c r="B590" s="5" t="s">
        <v>1254</v>
      </c>
      <c r="C590" s="5">
        <v>0</v>
      </c>
      <c r="D590" s="5">
        <v>0</v>
      </c>
      <c r="E590" s="5">
        <v>0</v>
      </c>
      <c r="F590" s="5">
        <v>500</v>
      </c>
      <c r="G590" s="5">
        <v>0</v>
      </c>
      <c r="H590" s="5">
        <v>500</v>
      </c>
      <c r="I590" s="5">
        <v>0</v>
      </c>
      <c r="J590" s="5">
        <v>0</v>
      </c>
      <c r="K590" s="5">
        <v>0</v>
      </c>
    </row>
    <row r="591" spans="1:11" x14ac:dyDescent="0.3">
      <c r="A591" s="9" t="s">
        <v>1034</v>
      </c>
      <c r="B591" s="5" t="s">
        <v>1035</v>
      </c>
      <c r="C591" s="5">
        <v>92</v>
      </c>
      <c r="D591" s="5">
        <v>83110</v>
      </c>
      <c r="E591" s="5">
        <v>37243368000</v>
      </c>
      <c r="F591" s="5">
        <v>400</v>
      </c>
      <c r="G591" s="5">
        <v>450</v>
      </c>
      <c r="H591" s="5">
        <v>448</v>
      </c>
      <c r="I591" s="5">
        <v>12</v>
      </c>
      <c r="J591" s="5">
        <v>448</v>
      </c>
      <c r="K591" s="5">
        <v>544</v>
      </c>
    </row>
    <row r="592" spans="1:11" x14ac:dyDescent="0.3">
      <c r="A592" s="9" t="s">
        <v>1054</v>
      </c>
      <c r="B592" s="5" t="s">
        <v>1055</v>
      </c>
      <c r="C592" s="5">
        <v>111</v>
      </c>
      <c r="D592" s="5">
        <v>20709</v>
      </c>
      <c r="E592" s="5">
        <v>7650207000</v>
      </c>
      <c r="F592" s="5">
        <v>381</v>
      </c>
      <c r="G592" s="5">
        <v>429</v>
      </c>
      <c r="H592" s="5">
        <v>369</v>
      </c>
      <c r="I592" s="5">
        <v>-3.15</v>
      </c>
      <c r="J592" s="5">
        <v>360</v>
      </c>
      <c r="K592" s="5">
        <v>429</v>
      </c>
    </row>
    <row r="593" spans="1:11" x14ac:dyDescent="0.3">
      <c r="A593" s="9" t="s">
        <v>1273</v>
      </c>
      <c r="B593" s="5" t="s">
        <v>1274</v>
      </c>
      <c r="C593" s="5">
        <v>803</v>
      </c>
      <c r="D593" s="5">
        <v>132278</v>
      </c>
      <c r="E593" s="5">
        <v>39611328000</v>
      </c>
      <c r="F593" s="5">
        <v>314</v>
      </c>
      <c r="G593" s="5">
        <v>305</v>
      </c>
      <c r="H593" s="5">
        <v>299</v>
      </c>
      <c r="I593" s="5">
        <v>-4.78</v>
      </c>
      <c r="J593" s="5">
        <v>271</v>
      </c>
      <c r="K593" s="5">
        <v>331</v>
      </c>
    </row>
    <row r="594" spans="1:11" x14ac:dyDescent="0.3">
      <c r="A594" s="9" t="s">
        <v>981</v>
      </c>
      <c r="B594" s="5" t="s">
        <v>982</v>
      </c>
      <c r="C594" s="5">
        <v>47</v>
      </c>
      <c r="D594" s="5">
        <v>6040</v>
      </c>
      <c r="E594" s="5">
        <v>1409586000</v>
      </c>
      <c r="F594" s="5">
        <v>234</v>
      </c>
      <c r="G594" s="5">
        <v>249</v>
      </c>
      <c r="H594" s="5">
        <v>233</v>
      </c>
      <c r="I594" s="5">
        <v>-0.43</v>
      </c>
      <c r="J594" s="5">
        <v>220</v>
      </c>
      <c r="K594" s="5">
        <v>259</v>
      </c>
    </row>
    <row r="595" spans="1:11" x14ac:dyDescent="0.3">
      <c r="A595" s="9" t="s">
        <v>1348</v>
      </c>
      <c r="B595" s="5" t="s">
        <v>1349</v>
      </c>
      <c r="C595" s="5">
        <v>60</v>
      </c>
      <c r="D595" s="5">
        <v>4418</v>
      </c>
      <c r="E595" s="5">
        <v>758859000</v>
      </c>
      <c r="F595" s="5">
        <v>152</v>
      </c>
      <c r="G595" s="5">
        <v>160</v>
      </c>
      <c r="H595" s="5">
        <v>172</v>
      </c>
      <c r="I595" s="5">
        <v>13.16</v>
      </c>
      <c r="J595" s="5">
        <v>150</v>
      </c>
      <c r="K595" s="5">
        <v>209</v>
      </c>
    </row>
    <row r="596" spans="1:11" x14ac:dyDescent="0.3">
      <c r="A596" s="9" t="s">
        <v>1524</v>
      </c>
      <c r="B596" s="5" t="s">
        <v>1525</v>
      </c>
      <c r="C596" s="5">
        <v>2</v>
      </c>
      <c r="D596" s="5">
        <v>430</v>
      </c>
      <c r="E596" s="5">
        <v>75200000</v>
      </c>
      <c r="F596" s="5">
        <v>101</v>
      </c>
      <c r="G596" s="5">
        <v>175</v>
      </c>
      <c r="H596" s="5">
        <v>175</v>
      </c>
      <c r="I596" s="5">
        <v>73.27</v>
      </c>
      <c r="J596" s="5">
        <v>174</v>
      </c>
      <c r="K596" s="5">
        <v>175</v>
      </c>
    </row>
    <row r="597" spans="1:11" x14ac:dyDescent="0.3">
      <c r="A597" s="9" t="s">
        <v>1698</v>
      </c>
      <c r="B597" s="5" t="s">
        <v>1699</v>
      </c>
      <c r="C597" s="5">
        <v>0</v>
      </c>
      <c r="D597" s="5">
        <v>0</v>
      </c>
      <c r="E597" s="5">
        <v>0</v>
      </c>
      <c r="F597" s="5">
        <v>800</v>
      </c>
      <c r="G597" s="5">
        <v>0</v>
      </c>
      <c r="H597" s="5">
        <v>800</v>
      </c>
      <c r="I597" s="5">
        <v>0</v>
      </c>
      <c r="J597" s="5">
        <v>0</v>
      </c>
      <c r="K597" s="5">
        <v>0</v>
      </c>
    </row>
    <row r="598" spans="1:11" x14ac:dyDescent="0.3">
      <c r="A598" s="9" t="s">
        <v>1486</v>
      </c>
      <c r="B598" s="5" t="s">
        <v>1487</v>
      </c>
      <c r="C598" s="5">
        <v>0</v>
      </c>
      <c r="D598" s="5">
        <v>0</v>
      </c>
      <c r="E598" s="5">
        <v>0</v>
      </c>
      <c r="F598" s="5">
        <v>170</v>
      </c>
      <c r="G598" s="5">
        <v>0</v>
      </c>
      <c r="H598" s="5">
        <v>170</v>
      </c>
      <c r="I598" s="5">
        <v>0</v>
      </c>
      <c r="J598" s="5">
        <v>0</v>
      </c>
      <c r="K598" s="5">
        <v>0</v>
      </c>
    </row>
    <row r="599" spans="1:11" x14ac:dyDescent="0.3">
      <c r="A599" s="9" t="s">
        <v>1324</v>
      </c>
      <c r="B599" s="5" t="s">
        <v>1325</v>
      </c>
      <c r="C599" s="5">
        <v>1</v>
      </c>
      <c r="D599" s="5">
        <v>3</v>
      </c>
      <c r="E599" s="5">
        <v>1497000</v>
      </c>
      <c r="F599" s="5">
        <v>305</v>
      </c>
      <c r="G599" s="5">
        <v>499</v>
      </c>
      <c r="H599" s="5">
        <v>499</v>
      </c>
      <c r="I599" s="5">
        <v>63.61</v>
      </c>
      <c r="J599" s="5">
        <v>499</v>
      </c>
      <c r="K599" s="5">
        <v>499</v>
      </c>
    </row>
    <row r="600" spans="1:11" x14ac:dyDescent="0.3">
      <c r="A600" s="9" t="s">
        <v>1276</v>
      </c>
      <c r="B600" s="5" t="s">
        <v>1277</v>
      </c>
      <c r="C600" s="5">
        <v>0</v>
      </c>
      <c r="D600" s="5">
        <v>0</v>
      </c>
      <c r="E600" s="5">
        <v>0</v>
      </c>
      <c r="F600" s="5">
        <v>153</v>
      </c>
      <c r="G600" s="5">
        <v>0</v>
      </c>
      <c r="H600" s="5">
        <v>153</v>
      </c>
      <c r="I600" s="5">
        <v>0</v>
      </c>
      <c r="J600" s="5">
        <v>0</v>
      </c>
      <c r="K600" s="5">
        <v>0</v>
      </c>
    </row>
    <row r="601" spans="1:11" x14ac:dyDescent="0.3">
      <c r="A601" s="9" t="s">
        <v>599</v>
      </c>
      <c r="B601" s="5" t="s">
        <v>600</v>
      </c>
      <c r="C601" s="5">
        <v>38</v>
      </c>
      <c r="D601" s="5">
        <v>1169</v>
      </c>
      <c r="E601" s="5">
        <v>1111747000</v>
      </c>
      <c r="F601" s="5">
        <v>947</v>
      </c>
      <c r="G601" s="5">
        <v>959</v>
      </c>
      <c r="H601" s="5">
        <v>951</v>
      </c>
      <c r="I601" s="5">
        <v>0.42</v>
      </c>
      <c r="J601" s="5">
        <v>915</v>
      </c>
      <c r="K601" s="5">
        <v>967</v>
      </c>
    </row>
    <row r="602" spans="1:11" x14ac:dyDescent="0.3">
      <c r="A602" s="9" t="s">
        <v>605</v>
      </c>
      <c r="B602" s="5" t="s">
        <v>606</v>
      </c>
      <c r="C602" s="5">
        <v>30</v>
      </c>
      <c r="D602" s="5">
        <v>1025</v>
      </c>
      <c r="E602" s="5">
        <v>859256000</v>
      </c>
      <c r="F602" s="5">
        <v>848</v>
      </c>
      <c r="G602" s="5">
        <v>850</v>
      </c>
      <c r="H602" s="5">
        <v>838</v>
      </c>
      <c r="I602" s="5">
        <v>-1.18</v>
      </c>
      <c r="J602" s="5">
        <v>814</v>
      </c>
      <c r="K602" s="5">
        <v>864</v>
      </c>
    </row>
    <row r="603" spans="1:11" x14ac:dyDescent="0.3">
      <c r="A603" s="9" t="s">
        <v>586</v>
      </c>
      <c r="B603" s="5" t="s">
        <v>587</v>
      </c>
      <c r="C603" s="5">
        <v>20</v>
      </c>
      <c r="D603" s="5">
        <v>346</v>
      </c>
      <c r="E603" s="5">
        <v>272039000</v>
      </c>
      <c r="F603" s="5">
        <v>772</v>
      </c>
      <c r="G603" s="5">
        <v>800</v>
      </c>
      <c r="H603" s="5">
        <v>786</v>
      </c>
      <c r="I603" s="5">
        <v>1.81</v>
      </c>
      <c r="J603" s="5">
        <v>750</v>
      </c>
      <c r="K603" s="5">
        <v>800</v>
      </c>
    </row>
    <row r="604" spans="1:11" x14ac:dyDescent="0.3">
      <c r="A604" s="9" t="s">
        <v>595</v>
      </c>
      <c r="B604" s="5" t="s">
        <v>596</v>
      </c>
      <c r="C604" s="5">
        <v>195</v>
      </c>
      <c r="D604" s="5">
        <v>34841</v>
      </c>
      <c r="E604" s="5">
        <v>23581022000</v>
      </c>
      <c r="F604" s="5">
        <v>696</v>
      </c>
      <c r="G604" s="5">
        <v>748</v>
      </c>
      <c r="H604" s="5">
        <v>677</v>
      </c>
      <c r="I604" s="5">
        <v>-2.73</v>
      </c>
      <c r="J604" s="5">
        <v>620</v>
      </c>
      <c r="K604" s="5">
        <v>748</v>
      </c>
    </row>
    <row r="605" spans="1:11" x14ac:dyDescent="0.3">
      <c r="A605" s="9" t="s">
        <v>603</v>
      </c>
      <c r="B605" s="5" t="s">
        <v>604</v>
      </c>
      <c r="C605" s="5">
        <v>1623</v>
      </c>
      <c r="D605" s="5">
        <v>368988</v>
      </c>
      <c r="E605" s="5">
        <v>230761427000</v>
      </c>
      <c r="F605" s="5">
        <v>626</v>
      </c>
      <c r="G605" s="5">
        <v>670</v>
      </c>
      <c r="H605" s="5">
        <v>625</v>
      </c>
      <c r="I605" s="5">
        <v>-0.16</v>
      </c>
      <c r="J605" s="5">
        <v>601</v>
      </c>
      <c r="K605" s="5">
        <v>670</v>
      </c>
    </row>
    <row r="606" spans="1:11" x14ac:dyDescent="0.3">
      <c r="A606" s="9" t="s">
        <v>584</v>
      </c>
      <c r="B606" s="5" t="s">
        <v>585</v>
      </c>
      <c r="C606" s="5">
        <v>65</v>
      </c>
      <c r="D606" s="5">
        <v>10851</v>
      </c>
      <c r="E606" s="5">
        <v>5930794000</v>
      </c>
      <c r="F606" s="5">
        <v>554</v>
      </c>
      <c r="G606" s="5">
        <v>540</v>
      </c>
      <c r="H606" s="5">
        <v>547</v>
      </c>
      <c r="I606" s="5">
        <v>-1.26</v>
      </c>
      <c r="J606" s="5">
        <v>530</v>
      </c>
      <c r="K606" s="5">
        <v>579</v>
      </c>
    </row>
    <row r="607" spans="1:11" x14ac:dyDescent="0.3">
      <c r="A607" s="9" t="s">
        <v>592</v>
      </c>
      <c r="B607" s="5" t="s">
        <v>593</v>
      </c>
      <c r="C607" s="5">
        <v>106</v>
      </c>
      <c r="D607" s="5">
        <v>7464</v>
      </c>
      <c r="E607" s="5">
        <v>3572328000</v>
      </c>
      <c r="F607" s="5">
        <v>502</v>
      </c>
      <c r="G607" s="5">
        <v>450</v>
      </c>
      <c r="H607" s="5">
        <v>479</v>
      </c>
      <c r="I607" s="5">
        <v>-4.58</v>
      </c>
      <c r="J607" s="5">
        <v>450</v>
      </c>
      <c r="K607" s="5">
        <v>540</v>
      </c>
    </row>
    <row r="608" spans="1:11" x14ac:dyDescent="0.3">
      <c r="A608" s="9" t="s">
        <v>581</v>
      </c>
      <c r="B608" s="5" t="s">
        <v>582</v>
      </c>
      <c r="C608" s="5">
        <v>96</v>
      </c>
      <c r="D608" s="5">
        <v>6728</v>
      </c>
      <c r="E608" s="5">
        <v>2939290000</v>
      </c>
      <c r="F608" s="5">
        <v>444</v>
      </c>
      <c r="G608" s="5">
        <v>412</v>
      </c>
      <c r="H608" s="5">
        <v>437</v>
      </c>
      <c r="I608" s="5">
        <v>-1.58</v>
      </c>
      <c r="J608" s="5">
        <v>400</v>
      </c>
      <c r="K608" s="5">
        <v>462</v>
      </c>
    </row>
    <row r="609" spans="1:11" x14ac:dyDescent="0.3">
      <c r="A609" s="9" t="s">
        <v>642</v>
      </c>
      <c r="B609" s="5" t="s">
        <v>643</v>
      </c>
      <c r="C609" s="5">
        <v>18</v>
      </c>
      <c r="D609" s="5">
        <v>999</v>
      </c>
      <c r="E609" s="5">
        <v>400750000</v>
      </c>
      <c r="F609" s="5">
        <v>398</v>
      </c>
      <c r="G609" s="5">
        <v>400</v>
      </c>
      <c r="H609" s="5">
        <v>401</v>
      </c>
      <c r="I609" s="5">
        <v>0.75</v>
      </c>
      <c r="J609" s="5">
        <v>380</v>
      </c>
      <c r="K609" s="5">
        <v>430</v>
      </c>
    </row>
    <row r="610" spans="1:11" x14ac:dyDescent="0.3">
      <c r="A610" s="9" t="s">
        <v>646</v>
      </c>
      <c r="B610" s="5" t="s">
        <v>647</v>
      </c>
      <c r="C610" s="5">
        <v>36</v>
      </c>
      <c r="D610" s="5">
        <v>2683</v>
      </c>
      <c r="E610" s="5">
        <v>903121000</v>
      </c>
      <c r="F610" s="5">
        <v>362</v>
      </c>
      <c r="G610" s="5">
        <v>400</v>
      </c>
      <c r="H610" s="5">
        <v>337</v>
      </c>
      <c r="I610" s="5">
        <v>-6.91</v>
      </c>
      <c r="J610" s="5">
        <v>302</v>
      </c>
      <c r="K610" s="5">
        <v>400</v>
      </c>
    </row>
    <row r="611" spans="1:11" x14ac:dyDescent="0.3">
      <c r="A611" s="9" t="s">
        <v>628</v>
      </c>
      <c r="B611" s="5" t="s">
        <v>629</v>
      </c>
      <c r="C611" s="5">
        <v>1877</v>
      </c>
      <c r="D611" s="5">
        <v>352862</v>
      </c>
      <c r="E611" s="5">
        <v>105223689000</v>
      </c>
      <c r="F611" s="5">
        <v>295</v>
      </c>
      <c r="G611" s="5">
        <v>344</v>
      </c>
      <c r="H611" s="5">
        <v>298</v>
      </c>
      <c r="I611" s="5">
        <v>1.02</v>
      </c>
      <c r="J611" s="5">
        <v>264</v>
      </c>
      <c r="K611" s="5">
        <v>350</v>
      </c>
    </row>
    <row r="612" spans="1:11" x14ac:dyDescent="0.3">
      <c r="A612" s="9" t="s">
        <v>1105</v>
      </c>
      <c r="B612" s="5" t="s">
        <v>1106</v>
      </c>
      <c r="C612" s="5">
        <v>0</v>
      </c>
      <c r="D612" s="5">
        <v>0</v>
      </c>
      <c r="E612" s="5">
        <v>0</v>
      </c>
      <c r="F612" s="5">
        <v>680</v>
      </c>
      <c r="G612" s="5">
        <v>0</v>
      </c>
      <c r="H612" s="5">
        <v>680</v>
      </c>
      <c r="I612" s="5">
        <v>0</v>
      </c>
      <c r="J612" s="5">
        <v>0</v>
      </c>
      <c r="K612" s="5">
        <v>0</v>
      </c>
    </row>
    <row r="613" spans="1:11" x14ac:dyDescent="0.3">
      <c r="A613" s="9" t="s">
        <v>716</v>
      </c>
      <c r="B613" s="5" t="s">
        <v>717</v>
      </c>
      <c r="C613" s="5">
        <v>2</v>
      </c>
      <c r="D613" s="5">
        <v>110</v>
      </c>
      <c r="E613" s="5">
        <v>77200000</v>
      </c>
      <c r="F613" s="5">
        <v>68024</v>
      </c>
      <c r="G613" s="5">
        <v>72000</v>
      </c>
      <c r="H613" s="5">
        <v>70182</v>
      </c>
      <c r="I613" s="5">
        <v>3.17</v>
      </c>
      <c r="J613" s="5">
        <v>70000</v>
      </c>
      <c r="K613" s="5">
        <v>72000</v>
      </c>
    </row>
    <row r="614" spans="1:11" x14ac:dyDescent="0.3">
      <c r="A614" s="9" t="s">
        <v>718</v>
      </c>
      <c r="B614" s="5" t="s">
        <v>719</v>
      </c>
      <c r="C614" s="5">
        <v>25</v>
      </c>
      <c r="D614" s="5">
        <v>3538</v>
      </c>
      <c r="E614" s="5">
        <v>2118557640</v>
      </c>
      <c r="F614" s="5">
        <v>60759</v>
      </c>
      <c r="G614" s="5">
        <v>62000</v>
      </c>
      <c r="H614" s="5">
        <v>59880</v>
      </c>
      <c r="I614" s="5">
        <v>-1.45</v>
      </c>
      <c r="J614" s="5">
        <v>58000</v>
      </c>
      <c r="K614" s="5">
        <v>62000</v>
      </c>
    </row>
    <row r="615" spans="1:11" x14ac:dyDescent="0.3">
      <c r="A615" s="9" t="s">
        <v>810</v>
      </c>
      <c r="B615" s="5" t="s">
        <v>811</v>
      </c>
      <c r="C615" s="5">
        <v>2</v>
      </c>
      <c r="D615" s="5">
        <v>5</v>
      </c>
      <c r="E615" s="5">
        <v>843400</v>
      </c>
      <c r="F615" s="5">
        <v>60000</v>
      </c>
      <c r="G615" s="5">
        <v>6085</v>
      </c>
      <c r="H615" s="5">
        <v>16868</v>
      </c>
      <c r="I615" s="5">
        <v>-71.89</v>
      </c>
      <c r="J615" s="5">
        <v>6085</v>
      </c>
      <c r="K615" s="5">
        <v>60000</v>
      </c>
    </row>
    <row r="616" spans="1:11" x14ac:dyDescent="0.3">
      <c r="A616" s="9" t="s">
        <v>724</v>
      </c>
      <c r="B616" s="5" t="s">
        <v>725</v>
      </c>
      <c r="C616" s="5">
        <v>1</v>
      </c>
      <c r="D616" s="5">
        <v>15</v>
      </c>
      <c r="E616" s="5">
        <v>7499550</v>
      </c>
      <c r="F616" s="5">
        <v>48000</v>
      </c>
      <c r="G616" s="5">
        <v>49997</v>
      </c>
      <c r="H616" s="5">
        <v>49997</v>
      </c>
      <c r="I616" s="5">
        <v>4.16</v>
      </c>
      <c r="J616" s="5">
        <v>49997</v>
      </c>
      <c r="K616" s="5">
        <v>49997</v>
      </c>
    </row>
    <row r="617" spans="1:11" x14ac:dyDescent="0.3">
      <c r="A617" s="9" t="s">
        <v>812</v>
      </c>
      <c r="B617" s="5" t="s">
        <v>813</v>
      </c>
      <c r="C617" s="5">
        <v>1</v>
      </c>
      <c r="D617" s="5">
        <v>1</v>
      </c>
      <c r="E617" s="5">
        <v>350000</v>
      </c>
      <c r="F617" s="5">
        <v>33500</v>
      </c>
      <c r="G617" s="5">
        <v>35000</v>
      </c>
      <c r="H617" s="5">
        <v>35000</v>
      </c>
      <c r="I617" s="5">
        <v>4.4800000000000004</v>
      </c>
      <c r="J617" s="5">
        <v>35000</v>
      </c>
      <c r="K617" s="5">
        <v>35000</v>
      </c>
    </row>
    <row r="618" spans="1:11" x14ac:dyDescent="0.3">
      <c r="A618" s="9" t="s">
        <v>1346</v>
      </c>
      <c r="B618" s="5" t="s">
        <v>1347</v>
      </c>
      <c r="C618" s="5">
        <v>6</v>
      </c>
      <c r="D618" s="5">
        <v>86</v>
      </c>
      <c r="E618" s="5">
        <v>23434640</v>
      </c>
      <c r="F618" s="5">
        <v>22000</v>
      </c>
      <c r="G618" s="5">
        <v>30000</v>
      </c>
      <c r="H618" s="5">
        <v>27250</v>
      </c>
      <c r="I618" s="5">
        <v>23.86</v>
      </c>
      <c r="J618" s="5">
        <v>26000</v>
      </c>
      <c r="K618" s="5">
        <v>30000</v>
      </c>
    </row>
    <row r="619" spans="1:11" x14ac:dyDescent="0.3">
      <c r="A619" s="9" t="s">
        <v>1025</v>
      </c>
      <c r="B619" s="5" t="s">
        <v>1026</v>
      </c>
      <c r="C619" s="5">
        <v>6</v>
      </c>
      <c r="D619" s="5">
        <v>401</v>
      </c>
      <c r="E619" s="5">
        <v>93011930</v>
      </c>
      <c r="F619" s="5">
        <v>44338</v>
      </c>
      <c r="G619" s="5">
        <v>40001</v>
      </c>
      <c r="H619" s="5">
        <v>23195</v>
      </c>
      <c r="I619" s="5">
        <v>-47.69</v>
      </c>
      <c r="J619" s="5">
        <v>5900</v>
      </c>
      <c r="K619" s="5">
        <v>44000</v>
      </c>
    </row>
    <row r="620" spans="1:11" x14ac:dyDescent="0.3">
      <c r="A620" s="9" t="s">
        <v>1009</v>
      </c>
      <c r="B620" s="5" t="s">
        <v>1010</v>
      </c>
      <c r="C620" s="5">
        <v>11</v>
      </c>
      <c r="D620" s="5">
        <v>1453</v>
      </c>
      <c r="E620" s="5">
        <v>515485990</v>
      </c>
      <c r="F620" s="5">
        <v>35968</v>
      </c>
      <c r="G620" s="5">
        <v>35000</v>
      </c>
      <c r="H620" s="5">
        <v>35477</v>
      </c>
      <c r="I620" s="5">
        <v>-1.37</v>
      </c>
      <c r="J620" s="5">
        <v>35000</v>
      </c>
      <c r="K620" s="5">
        <v>37900</v>
      </c>
    </row>
    <row r="621" spans="1:11" x14ac:dyDescent="0.3">
      <c r="A621" s="9" t="s">
        <v>1067</v>
      </c>
      <c r="B621" s="5" t="s">
        <v>1068</v>
      </c>
      <c r="C621" s="5">
        <v>0</v>
      </c>
      <c r="D621" s="5">
        <v>0</v>
      </c>
      <c r="E621" s="5">
        <v>0</v>
      </c>
      <c r="F621" s="5">
        <v>1000</v>
      </c>
      <c r="G621" s="5">
        <v>0</v>
      </c>
      <c r="H621" s="5">
        <v>1000</v>
      </c>
      <c r="I621" s="5">
        <v>0</v>
      </c>
      <c r="J621" s="5">
        <v>0</v>
      </c>
      <c r="K621" s="5">
        <v>0</v>
      </c>
    </row>
    <row r="622" spans="1:11" x14ac:dyDescent="0.3">
      <c r="A622" s="9" t="s">
        <v>558</v>
      </c>
      <c r="B622" s="5" t="s">
        <v>559</v>
      </c>
      <c r="C622" s="5">
        <v>0</v>
      </c>
      <c r="D622" s="5">
        <v>0</v>
      </c>
      <c r="E622" s="5">
        <v>0</v>
      </c>
      <c r="F622" s="5">
        <v>700</v>
      </c>
      <c r="G622" s="5">
        <v>0</v>
      </c>
      <c r="H622" s="5">
        <v>700</v>
      </c>
      <c r="I622" s="5">
        <v>0</v>
      </c>
      <c r="J622" s="5">
        <v>0</v>
      </c>
      <c r="K622" s="5">
        <v>0</v>
      </c>
    </row>
    <row r="623" spans="1:11" x14ac:dyDescent="0.3">
      <c r="A623" s="9" t="s">
        <v>1688</v>
      </c>
      <c r="B623" s="5" t="s">
        <v>1689</v>
      </c>
      <c r="C623" s="5">
        <v>106</v>
      </c>
      <c r="D623" s="5">
        <v>4971</v>
      </c>
      <c r="E623" s="5">
        <v>16720396980</v>
      </c>
      <c r="F623" s="5">
        <v>3034</v>
      </c>
      <c r="G623" s="5">
        <v>3100</v>
      </c>
      <c r="H623" s="5">
        <v>2815</v>
      </c>
      <c r="I623" s="5">
        <v>-7.22</v>
      </c>
      <c r="J623" s="5">
        <v>380</v>
      </c>
      <c r="K623" s="5">
        <v>3350</v>
      </c>
    </row>
    <row r="624" spans="1:11" x14ac:dyDescent="0.3">
      <c r="A624" s="9" t="s">
        <v>1690</v>
      </c>
      <c r="B624" s="5" t="s">
        <v>1691</v>
      </c>
      <c r="C624" s="5">
        <v>16</v>
      </c>
      <c r="D624" s="5">
        <v>357</v>
      </c>
      <c r="E624" s="5">
        <v>901127990</v>
      </c>
      <c r="F624" s="5">
        <v>2872</v>
      </c>
      <c r="G624" s="5">
        <v>2000</v>
      </c>
      <c r="H624" s="5">
        <v>2112</v>
      </c>
      <c r="I624" s="5">
        <v>-26.46</v>
      </c>
      <c r="J624" s="5">
        <v>400</v>
      </c>
      <c r="K624" s="5">
        <v>2798</v>
      </c>
    </row>
    <row r="625" spans="1:11" x14ac:dyDescent="0.3">
      <c r="A625" s="9" t="s">
        <v>1692</v>
      </c>
      <c r="B625" s="5" t="s">
        <v>1693</v>
      </c>
      <c r="C625" s="5">
        <v>13</v>
      </c>
      <c r="D625" s="5">
        <v>206</v>
      </c>
      <c r="E625" s="5">
        <v>545069375</v>
      </c>
      <c r="F625" s="5">
        <v>2125</v>
      </c>
      <c r="G625" s="5">
        <v>2089</v>
      </c>
      <c r="H625" s="5">
        <v>2214</v>
      </c>
      <c r="I625" s="5">
        <v>4.1900000000000004</v>
      </c>
      <c r="J625" s="5">
        <v>2001</v>
      </c>
      <c r="K625" s="5">
        <v>2290</v>
      </c>
    </row>
    <row r="626" spans="1:11" x14ac:dyDescent="0.3">
      <c r="A626" s="9" t="s">
        <v>1694</v>
      </c>
      <c r="B626" s="5" t="s">
        <v>1695</v>
      </c>
      <c r="C626" s="5">
        <v>9</v>
      </c>
      <c r="D626" s="5">
        <v>102</v>
      </c>
      <c r="E626" s="5">
        <v>178317900</v>
      </c>
      <c r="F626" s="5">
        <v>1500</v>
      </c>
      <c r="G626" s="5">
        <v>1430</v>
      </c>
      <c r="H626" s="5">
        <v>1463</v>
      </c>
      <c r="I626" s="5">
        <v>-2.4700000000000002</v>
      </c>
      <c r="J626" s="5">
        <v>1300</v>
      </c>
      <c r="K626" s="5">
        <v>1500</v>
      </c>
    </row>
    <row r="627" spans="1:11" x14ac:dyDescent="0.3">
      <c r="A627" s="9" t="s">
        <v>1696</v>
      </c>
      <c r="B627" s="5" t="s">
        <v>1697</v>
      </c>
      <c r="C627" s="5">
        <v>14</v>
      </c>
      <c r="D627" s="5">
        <v>222</v>
      </c>
      <c r="E627" s="5">
        <v>285076810</v>
      </c>
      <c r="F627" s="5">
        <v>550</v>
      </c>
      <c r="G627" s="5">
        <v>1200</v>
      </c>
      <c r="H627" s="5">
        <v>1075</v>
      </c>
      <c r="I627" s="5">
        <v>95.45</v>
      </c>
      <c r="J627" s="5">
        <v>900</v>
      </c>
      <c r="K627" s="5">
        <v>1200</v>
      </c>
    </row>
    <row r="628" spans="1:11" x14ac:dyDescent="0.3">
      <c r="A628" s="9" t="s">
        <v>1892</v>
      </c>
      <c r="B628" s="5" t="s">
        <v>1893</v>
      </c>
      <c r="C628" s="5">
        <v>0</v>
      </c>
      <c r="D628" s="5">
        <v>0</v>
      </c>
      <c r="E628" s="5">
        <v>0</v>
      </c>
      <c r="F628" s="5">
        <v>620</v>
      </c>
      <c r="G628" s="5">
        <v>0</v>
      </c>
      <c r="H628" s="5">
        <v>620</v>
      </c>
      <c r="I628" s="5">
        <v>0</v>
      </c>
      <c r="J628" s="5">
        <v>0</v>
      </c>
      <c r="K628" s="5">
        <v>0</v>
      </c>
    </row>
    <row r="629" spans="1:11" x14ac:dyDescent="0.3">
      <c r="A629" s="9" t="s">
        <v>1364</v>
      </c>
      <c r="B629" s="5" t="s">
        <v>1365</v>
      </c>
      <c r="C629" s="5">
        <v>2</v>
      </c>
      <c r="D629" s="5">
        <v>100</v>
      </c>
      <c r="E629" s="5">
        <v>80000000</v>
      </c>
      <c r="F629" s="5">
        <v>900</v>
      </c>
      <c r="G629" s="5">
        <v>800</v>
      </c>
      <c r="H629" s="5">
        <v>800</v>
      </c>
      <c r="I629" s="5">
        <v>-11.11</v>
      </c>
      <c r="J629" s="5">
        <v>800</v>
      </c>
      <c r="K629" s="5">
        <v>800</v>
      </c>
    </row>
    <row r="630" spans="1:11" x14ac:dyDescent="0.3">
      <c r="A630" s="9" t="s">
        <v>1634</v>
      </c>
      <c r="B630" s="5" t="s">
        <v>1635</v>
      </c>
      <c r="C630" s="5">
        <v>2</v>
      </c>
      <c r="D630" s="5">
        <v>105</v>
      </c>
      <c r="E630" s="5">
        <v>11400000</v>
      </c>
      <c r="F630" s="5">
        <v>200</v>
      </c>
      <c r="G630" s="5">
        <v>80</v>
      </c>
      <c r="H630" s="5">
        <v>109</v>
      </c>
      <c r="I630" s="5">
        <v>-45.5</v>
      </c>
      <c r="J630" s="5">
        <v>80</v>
      </c>
      <c r="K630" s="5">
        <v>110</v>
      </c>
    </row>
    <row r="631" spans="1:11" x14ac:dyDescent="0.3">
      <c r="A631" s="9" t="s">
        <v>1825</v>
      </c>
      <c r="B631" s="5" t="s">
        <v>1826</v>
      </c>
      <c r="C631" s="5">
        <v>13</v>
      </c>
      <c r="D631" s="5">
        <v>67</v>
      </c>
      <c r="E631" s="5">
        <v>151654500</v>
      </c>
      <c r="F631" s="5">
        <v>1352</v>
      </c>
      <c r="G631" s="5">
        <v>1500</v>
      </c>
      <c r="H631" s="5">
        <v>1500</v>
      </c>
      <c r="I631" s="5">
        <v>10.95</v>
      </c>
      <c r="J631" s="5">
        <v>1500</v>
      </c>
      <c r="K631" s="5">
        <v>1500</v>
      </c>
    </row>
    <row r="632" spans="1:11" x14ac:dyDescent="0.3">
      <c r="A632" s="9" t="s">
        <v>669</v>
      </c>
      <c r="B632" s="5" t="s">
        <v>670</v>
      </c>
      <c r="C632" s="5">
        <v>8</v>
      </c>
      <c r="D632" s="5">
        <v>71</v>
      </c>
      <c r="E632" s="5">
        <v>411029000</v>
      </c>
      <c r="F632" s="5">
        <v>5857</v>
      </c>
      <c r="G632" s="5">
        <v>4060</v>
      </c>
      <c r="H632" s="5">
        <v>5789</v>
      </c>
      <c r="I632" s="5">
        <v>-1.1599999999999999</v>
      </c>
      <c r="J632" s="5">
        <v>4060</v>
      </c>
      <c r="K632" s="5">
        <v>6200</v>
      </c>
    </row>
    <row r="633" spans="1:11" x14ac:dyDescent="0.3">
      <c r="A633" s="9" t="s">
        <v>760</v>
      </c>
      <c r="B633" s="5" t="s">
        <v>761</v>
      </c>
      <c r="C633" s="5">
        <v>5</v>
      </c>
      <c r="D633" s="5">
        <v>284</v>
      </c>
      <c r="E633" s="5">
        <v>1448579000</v>
      </c>
      <c r="F633" s="5">
        <v>4956</v>
      </c>
      <c r="G633" s="5">
        <v>5299</v>
      </c>
      <c r="H633" s="5">
        <v>5101</v>
      </c>
      <c r="I633" s="5">
        <v>2.93</v>
      </c>
      <c r="J633" s="5">
        <v>5080</v>
      </c>
      <c r="K633" s="5">
        <v>5299</v>
      </c>
    </row>
    <row r="634" spans="1:11" x14ac:dyDescent="0.3">
      <c r="A634" s="9" t="s">
        <v>682</v>
      </c>
      <c r="B634" s="5" t="s">
        <v>683</v>
      </c>
      <c r="C634" s="5">
        <v>57</v>
      </c>
      <c r="D634" s="5">
        <v>1148</v>
      </c>
      <c r="E634" s="5">
        <v>4780056000</v>
      </c>
      <c r="F634" s="5">
        <v>4057</v>
      </c>
      <c r="G634" s="5">
        <v>4400</v>
      </c>
      <c r="H634" s="5">
        <v>4164</v>
      </c>
      <c r="I634" s="5">
        <v>2.64</v>
      </c>
      <c r="J634" s="5">
        <v>3500</v>
      </c>
      <c r="K634" s="5">
        <v>4400</v>
      </c>
    </row>
    <row r="635" spans="1:11" x14ac:dyDescent="0.3">
      <c r="A635" s="9" t="s">
        <v>1761</v>
      </c>
      <c r="B635" s="5" t="s">
        <v>1762</v>
      </c>
      <c r="C635" s="5">
        <v>2</v>
      </c>
      <c r="D635" s="5">
        <v>20</v>
      </c>
      <c r="E635" s="5">
        <v>60000000</v>
      </c>
      <c r="F635" s="5">
        <v>3108</v>
      </c>
      <c r="G635" s="5">
        <v>3000</v>
      </c>
      <c r="H635" s="5">
        <v>3000</v>
      </c>
      <c r="I635" s="5">
        <v>-3.47</v>
      </c>
      <c r="J635" s="5">
        <v>3000</v>
      </c>
      <c r="K635" s="5">
        <v>3000</v>
      </c>
    </row>
    <row r="636" spans="1:11" x14ac:dyDescent="0.3">
      <c r="A636" s="9" t="s">
        <v>1763</v>
      </c>
      <c r="B636" s="5" t="s">
        <v>1764</v>
      </c>
      <c r="C636" s="5">
        <v>12</v>
      </c>
      <c r="D636" s="5">
        <v>174</v>
      </c>
      <c r="E636" s="5">
        <v>465501000</v>
      </c>
      <c r="F636" s="5">
        <v>2493</v>
      </c>
      <c r="G636" s="5">
        <v>4499</v>
      </c>
      <c r="H636" s="5">
        <v>2675</v>
      </c>
      <c r="I636" s="5">
        <v>7.3</v>
      </c>
      <c r="J636" s="5">
        <v>2000</v>
      </c>
      <c r="K636" s="5">
        <v>4499</v>
      </c>
    </row>
    <row r="637" spans="1:11" x14ac:dyDescent="0.3">
      <c r="A637" s="9" t="s">
        <v>678</v>
      </c>
      <c r="B637" s="5" t="s">
        <v>679</v>
      </c>
      <c r="C637" s="5">
        <v>9</v>
      </c>
      <c r="D637" s="5">
        <v>5400000</v>
      </c>
      <c r="E637" s="5">
        <v>73477000000</v>
      </c>
      <c r="F637" s="5">
        <v>13390</v>
      </c>
      <c r="G637" s="5">
        <v>13800</v>
      </c>
      <c r="H637" s="5">
        <v>13607</v>
      </c>
      <c r="I637" s="5">
        <v>1.62</v>
      </c>
      <c r="J637" s="5">
        <v>13500</v>
      </c>
      <c r="K637" s="5">
        <v>13870</v>
      </c>
    </row>
    <row r="638" spans="1:11" x14ac:dyDescent="0.3">
      <c r="A638" s="9" t="s">
        <v>1211</v>
      </c>
      <c r="B638" s="5" t="s">
        <v>1212</v>
      </c>
      <c r="C638" s="5">
        <v>0</v>
      </c>
      <c r="D638" s="5">
        <v>0</v>
      </c>
      <c r="E638" s="5">
        <v>0</v>
      </c>
      <c r="F638" s="5">
        <v>1656</v>
      </c>
      <c r="G638" s="5">
        <v>0</v>
      </c>
      <c r="H638" s="5">
        <v>1656</v>
      </c>
      <c r="I638" s="5">
        <v>0</v>
      </c>
      <c r="J638" s="5">
        <v>0</v>
      </c>
      <c r="K638" s="5">
        <v>0</v>
      </c>
    </row>
    <row r="639" spans="1:11" x14ac:dyDescent="0.3">
      <c r="A639" s="9" t="s">
        <v>1223</v>
      </c>
      <c r="B639" s="5" t="s">
        <v>1224</v>
      </c>
      <c r="C639" s="5">
        <v>0</v>
      </c>
      <c r="D639" s="5">
        <v>0</v>
      </c>
      <c r="E639" s="5">
        <v>0</v>
      </c>
      <c r="F639" s="5">
        <v>1000</v>
      </c>
      <c r="G639" s="5">
        <v>0</v>
      </c>
      <c r="H639" s="5">
        <v>1000</v>
      </c>
      <c r="I639" s="5">
        <v>0</v>
      </c>
      <c r="J639" s="5">
        <v>0</v>
      </c>
      <c r="K639" s="5">
        <v>0</v>
      </c>
    </row>
    <row r="640" spans="1:11" x14ac:dyDescent="0.3">
      <c r="A640" s="9" t="s">
        <v>1840</v>
      </c>
      <c r="B640" s="5" t="s">
        <v>1841</v>
      </c>
      <c r="C640" s="5">
        <v>2</v>
      </c>
      <c r="D640" s="5">
        <v>7</v>
      </c>
      <c r="E640" s="5">
        <v>31500000</v>
      </c>
      <c r="F640" s="5">
        <v>3000</v>
      </c>
      <c r="G640" s="5">
        <v>3000</v>
      </c>
      <c r="H640" s="5">
        <v>3000</v>
      </c>
      <c r="I640" s="5">
        <v>0</v>
      </c>
      <c r="J640" s="5">
        <v>3000</v>
      </c>
      <c r="K640" s="5">
        <v>3000</v>
      </c>
    </row>
    <row r="641" spans="1:11" x14ac:dyDescent="0.3">
      <c r="A641" s="9" t="s">
        <v>1888</v>
      </c>
      <c r="B641" s="5" t="s">
        <v>1889</v>
      </c>
      <c r="C641" s="5">
        <v>0</v>
      </c>
      <c r="D641" s="5">
        <v>0</v>
      </c>
      <c r="E641" s="5">
        <v>0</v>
      </c>
      <c r="F641" s="5">
        <v>777</v>
      </c>
      <c r="G641" s="5">
        <v>0</v>
      </c>
      <c r="H641" s="5">
        <v>777</v>
      </c>
      <c r="I641" s="5">
        <v>0</v>
      </c>
      <c r="J641" s="5">
        <v>0</v>
      </c>
      <c r="K641" s="5">
        <v>0</v>
      </c>
    </row>
    <row r="642" spans="1:11" x14ac:dyDescent="0.3">
      <c r="A642" s="9" t="s">
        <v>1686</v>
      </c>
      <c r="B642" s="5" t="s">
        <v>1687</v>
      </c>
      <c r="C642" s="5">
        <v>0</v>
      </c>
      <c r="D642" s="5">
        <v>0</v>
      </c>
      <c r="E642" s="5">
        <v>0</v>
      </c>
      <c r="F642" s="5">
        <v>850</v>
      </c>
      <c r="G642" s="5">
        <v>0</v>
      </c>
      <c r="H642" s="5">
        <v>850</v>
      </c>
      <c r="I642" s="5">
        <v>0</v>
      </c>
      <c r="J642" s="5">
        <v>0</v>
      </c>
      <c r="K642" s="5">
        <v>0</v>
      </c>
    </row>
    <row r="643" spans="1:11" x14ac:dyDescent="0.3">
      <c r="A643" s="9" t="s">
        <v>1723</v>
      </c>
      <c r="B643" s="5" t="s">
        <v>1724</v>
      </c>
      <c r="C643" s="5">
        <v>82</v>
      </c>
      <c r="D643" s="5">
        <v>1777</v>
      </c>
      <c r="E643" s="5">
        <v>15163123500</v>
      </c>
      <c r="F643" s="5">
        <v>5405</v>
      </c>
      <c r="G643" s="5">
        <v>5700</v>
      </c>
      <c r="H643" s="5">
        <v>5689</v>
      </c>
      <c r="I643" s="5">
        <v>5.25</v>
      </c>
      <c r="J643" s="5">
        <v>5579</v>
      </c>
      <c r="K643" s="5">
        <v>5750</v>
      </c>
    </row>
    <row r="644" spans="1:11" x14ac:dyDescent="0.3">
      <c r="A644" s="9" t="s">
        <v>1886</v>
      </c>
      <c r="B644" s="5" t="s">
        <v>1887</v>
      </c>
      <c r="C644" s="5">
        <v>26</v>
      </c>
      <c r="D644" s="5">
        <v>876</v>
      </c>
      <c r="E644" s="5">
        <v>7744915500</v>
      </c>
      <c r="F644" s="5">
        <v>8390</v>
      </c>
      <c r="G644" s="5">
        <v>6000</v>
      </c>
      <c r="H644" s="5">
        <v>5894</v>
      </c>
      <c r="I644" s="5">
        <v>-29.75</v>
      </c>
      <c r="J644" s="5">
        <v>5600</v>
      </c>
      <c r="K644" s="5">
        <v>6000</v>
      </c>
    </row>
    <row r="645" spans="1:11" x14ac:dyDescent="0.3">
      <c r="A645" s="9" t="s">
        <v>1729</v>
      </c>
      <c r="B645" s="5" t="s">
        <v>1730</v>
      </c>
      <c r="C645" s="5">
        <v>20</v>
      </c>
      <c r="D645" s="5">
        <v>658</v>
      </c>
      <c r="E645" s="5">
        <v>4920024000</v>
      </c>
      <c r="F645" s="5">
        <v>4700</v>
      </c>
      <c r="G645" s="5">
        <v>5000</v>
      </c>
      <c r="H645" s="5">
        <v>4985</v>
      </c>
      <c r="I645" s="5">
        <v>6.06</v>
      </c>
      <c r="J645" s="5">
        <v>4900</v>
      </c>
      <c r="K645" s="5">
        <v>5000</v>
      </c>
    </row>
    <row r="646" spans="1:11" x14ac:dyDescent="0.3">
      <c r="A646" s="9" t="s">
        <v>1684</v>
      </c>
      <c r="B646" s="5" t="s">
        <v>1685</v>
      </c>
      <c r="C646" s="5">
        <v>11</v>
      </c>
      <c r="D646" s="5">
        <v>290</v>
      </c>
      <c r="E646" s="5">
        <v>2177862000</v>
      </c>
      <c r="F646" s="5">
        <v>5773</v>
      </c>
      <c r="G646" s="5">
        <v>5200</v>
      </c>
      <c r="H646" s="5">
        <v>5007</v>
      </c>
      <c r="I646" s="5">
        <v>-13.27</v>
      </c>
      <c r="J646" s="5">
        <v>4998</v>
      </c>
      <c r="K646" s="5">
        <v>5200</v>
      </c>
    </row>
    <row r="647" spans="1:11" x14ac:dyDescent="0.3">
      <c r="A647" s="9" t="s">
        <v>1869</v>
      </c>
      <c r="B647" s="5" t="s">
        <v>1870</v>
      </c>
      <c r="C647" s="5">
        <v>6</v>
      </c>
      <c r="D647" s="5">
        <v>47</v>
      </c>
      <c r="E647" s="5">
        <v>263094000</v>
      </c>
      <c r="F647" s="5">
        <v>3500</v>
      </c>
      <c r="G647" s="5">
        <v>3200</v>
      </c>
      <c r="H647" s="5">
        <v>3732</v>
      </c>
      <c r="I647" s="5">
        <v>6.63</v>
      </c>
      <c r="J647" s="5">
        <v>3200</v>
      </c>
      <c r="K647" s="5">
        <v>4500</v>
      </c>
    </row>
    <row r="648" spans="1:11" x14ac:dyDescent="0.3">
      <c r="A648" s="9" t="s">
        <v>1890</v>
      </c>
      <c r="B648" s="5" t="s">
        <v>1891</v>
      </c>
      <c r="C648" s="5">
        <v>2</v>
      </c>
      <c r="D648" s="5">
        <v>2</v>
      </c>
      <c r="E648" s="5">
        <v>4500000</v>
      </c>
      <c r="F648" s="5">
        <v>832</v>
      </c>
      <c r="G648" s="5">
        <v>1500</v>
      </c>
      <c r="H648" s="5">
        <v>1500</v>
      </c>
      <c r="I648" s="5">
        <v>80.290000000000006</v>
      </c>
      <c r="J648" s="5">
        <v>1500</v>
      </c>
      <c r="K648" s="5">
        <v>1500</v>
      </c>
    </row>
    <row r="649" spans="1:11" x14ac:dyDescent="0.3">
      <c r="A649" s="9" t="s">
        <v>700</v>
      </c>
      <c r="B649" s="5" t="s">
        <v>701</v>
      </c>
      <c r="C649" s="5">
        <v>38</v>
      </c>
      <c r="D649" s="5">
        <v>1079</v>
      </c>
      <c r="E649" s="5">
        <v>1156360252</v>
      </c>
      <c r="F649" s="5">
        <v>1090</v>
      </c>
      <c r="G649" s="5">
        <v>1000</v>
      </c>
      <c r="H649" s="5">
        <v>989</v>
      </c>
      <c r="I649" s="5">
        <v>-9.27</v>
      </c>
      <c r="J649" s="5">
        <v>956</v>
      </c>
      <c r="K649" s="5">
        <v>1059</v>
      </c>
    </row>
    <row r="650" spans="1:11" x14ac:dyDescent="0.3">
      <c r="A650" s="9" t="s">
        <v>693</v>
      </c>
      <c r="B650" s="5" t="s">
        <v>694</v>
      </c>
      <c r="C650" s="5">
        <v>3</v>
      </c>
      <c r="D650" s="5">
        <v>11</v>
      </c>
      <c r="E650" s="5">
        <v>11922916</v>
      </c>
      <c r="F650" s="5">
        <v>975</v>
      </c>
      <c r="G650" s="5">
        <v>1000</v>
      </c>
      <c r="H650" s="5">
        <v>1000</v>
      </c>
      <c r="I650" s="5">
        <v>2.56</v>
      </c>
      <c r="J650" s="5">
        <v>999</v>
      </c>
      <c r="K650" s="5">
        <v>1000</v>
      </c>
    </row>
    <row r="651" spans="1:11" x14ac:dyDescent="0.3">
      <c r="A651" s="9" t="s">
        <v>697</v>
      </c>
      <c r="B651" s="5" t="s">
        <v>698</v>
      </c>
      <c r="C651" s="5">
        <v>9</v>
      </c>
      <c r="D651" s="5">
        <v>612</v>
      </c>
      <c r="E651" s="5">
        <v>265184340</v>
      </c>
      <c r="F651" s="5">
        <v>443</v>
      </c>
      <c r="G651" s="5">
        <v>450</v>
      </c>
      <c r="H651" s="5">
        <v>400</v>
      </c>
      <c r="I651" s="5">
        <v>-9.7100000000000009</v>
      </c>
      <c r="J651" s="5">
        <v>390</v>
      </c>
      <c r="K651" s="5">
        <v>450</v>
      </c>
    </row>
    <row r="652" spans="1:11" x14ac:dyDescent="0.3">
      <c r="A652" s="9" t="s">
        <v>1823</v>
      </c>
      <c r="B652" s="5" t="s">
        <v>1824</v>
      </c>
      <c r="C652" s="5">
        <v>4</v>
      </c>
      <c r="D652" s="5">
        <v>27</v>
      </c>
      <c r="E652" s="5">
        <v>315017000</v>
      </c>
      <c r="F652" s="5">
        <v>14619</v>
      </c>
      <c r="G652" s="5">
        <v>11002</v>
      </c>
      <c r="H652" s="5">
        <v>11667</v>
      </c>
      <c r="I652" s="5">
        <v>-20.190000000000001</v>
      </c>
      <c r="J652" s="5">
        <v>10000</v>
      </c>
      <c r="K652" s="5">
        <v>13999</v>
      </c>
    </row>
    <row r="653" spans="1:11" x14ac:dyDescent="0.3">
      <c r="A653" s="9" t="s">
        <v>1862</v>
      </c>
      <c r="B653" s="5" t="s">
        <v>1863</v>
      </c>
      <c r="C653" s="5">
        <v>4</v>
      </c>
      <c r="D653" s="5">
        <v>20</v>
      </c>
      <c r="E653" s="5">
        <v>152967000</v>
      </c>
      <c r="F653" s="5">
        <v>9070</v>
      </c>
      <c r="G653" s="5">
        <v>7358</v>
      </c>
      <c r="H653" s="5">
        <v>7648</v>
      </c>
      <c r="I653" s="5">
        <v>-15.68</v>
      </c>
      <c r="J653" s="5">
        <v>7358</v>
      </c>
      <c r="K653" s="5">
        <v>7681</v>
      </c>
    </row>
    <row r="654" spans="1:11" x14ac:dyDescent="0.3">
      <c r="A654" s="9" t="s">
        <v>691</v>
      </c>
      <c r="B654" s="5" t="s">
        <v>692</v>
      </c>
      <c r="C654" s="5">
        <v>3</v>
      </c>
      <c r="D654" s="5">
        <v>7</v>
      </c>
      <c r="E654" s="5">
        <v>126000000</v>
      </c>
      <c r="F654" s="5">
        <v>17641</v>
      </c>
      <c r="G654" s="5">
        <v>18000</v>
      </c>
      <c r="H654" s="5">
        <v>18000</v>
      </c>
      <c r="I654" s="5">
        <v>2.04</v>
      </c>
      <c r="J654" s="5">
        <v>18000</v>
      </c>
      <c r="K654" s="5">
        <v>18000</v>
      </c>
    </row>
    <row r="655" spans="1:11" x14ac:dyDescent="0.3">
      <c r="A655" s="9" t="s">
        <v>736</v>
      </c>
      <c r="B655" s="5" t="s">
        <v>737</v>
      </c>
      <c r="C655" s="5">
        <v>1</v>
      </c>
      <c r="D655" s="5">
        <v>1</v>
      </c>
      <c r="E655" s="5">
        <v>16700000</v>
      </c>
      <c r="F655" s="5">
        <v>14000</v>
      </c>
      <c r="G655" s="5">
        <v>16700</v>
      </c>
      <c r="H655" s="5">
        <v>16700</v>
      </c>
      <c r="I655" s="5">
        <v>19.29</v>
      </c>
      <c r="J655" s="5">
        <v>16700</v>
      </c>
      <c r="K655" s="5">
        <v>16700</v>
      </c>
    </row>
    <row r="656" spans="1:11" x14ac:dyDescent="0.3">
      <c r="A656" s="9" t="s">
        <v>762</v>
      </c>
      <c r="B656" s="5" t="s">
        <v>763</v>
      </c>
      <c r="C656" s="5">
        <v>4</v>
      </c>
      <c r="D656" s="5">
        <v>68</v>
      </c>
      <c r="E656" s="5">
        <v>1114406000</v>
      </c>
      <c r="F656" s="5">
        <v>15064</v>
      </c>
      <c r="G656" s="5">
        <v>16003</v>
      </c>
      <c r="H656" s="5">
        <v>16388</v>
      </c>
      <c r="I656" s="5">
        <v>8.7899999999999991</v>
      </c>
      <c r="J656" s="5">
        <v>16003</v>
      </c>
      <c r="K656" s="5">
        <v>16400</v>
      </c>
    </row>
    <row r="657" spans="1:11" x14ac:dyDescent="0.3">
      <c r="A657" s="9" t="s">
        <v>659</v>
      </c>
      <c r="B657" s="5" t="s">
        <v>660</v>
      </c>
      <c r="C657" s="5">
        <v>22</v>
      </c>
      <c r="D657" s="5">
        <v>403</v>
      </c>
      <c r="E657" s="5">
        <v>4403975000</v>
      </c>
      <c r="F657" s="5">
        <v>11467</v>
      </c>
      <c r="G657" s="5">
        <v>10000</v>
      </c>
      <c r="H657" s="5">
        <v>10928</v>
      </c>
      <c r="I657" s="5">
        <v>-4.7</v>
      </c>
      <c r="J657" s="5">
        <v>10000</v>
      </c>
      <c r="K657" s="5">
        <v>11600</v>
      </c>
    </row>
    <row r="658" spans="1:11" x14ac:dyDescent="0.3">
      <c r="A658" s="9" t="s">
        <v>959</v>
      </c>
      <c r="B658" s="5" t="s">
        <v>960</v>
      </c>
      <c r="C658" s="5">
        <v>0</v>
      </c>
      <c r="D658" s="5">
        <v>0</v>
      </c>
      <c r="E658" s="5">
        <v>0</v>
      </c>
      <c r="F658" s="5">
        <v>1310</v>
      </c>
      <c r="G658" s="5">
        <v>0</v>
      </c>
      <c r="H658" s="5">
        <v>1310</v>
      </c>
      <c r="I658" s="5">
        <v>0</v>
      </c>
      <c r="J658" s="5">
        <v>0</v>
      </c>
      <c r="K658" s="5">
        <v>0</v>
      </c>
    </row>
    <row r="659" spans="1:11" x14ac:dyDescent="0.3">
      <c r="A659" s="9" t="s">
        <v>1490</v>
      </c>
      <c r="B659" s="5" t="s">
        <v>1491</v>
      </c>
      <c r="C659" s="5">
        <v>0</v>
      </c>
      <c r="D659" s="5">
        <v>0</v>
      </c>
      <c r="E659" s="5">
        <v>0</v>
      </c>
      <c r="F659" s="5">
        <v>500</v>
      </c>
      <c r="G659" s="5">
        <v>0</v>
      </c>
      <c r="H659" s="5">
        <v>500</v>
      </c>
      <c r="I659" s="5">
        <v>0</v>
      </c>
      <c r="J659" s="5">
        <v>0</v>
      </c>
      <c r="K659" s="5">
        <v>0</v>
      </c>
    </row>
    <row r="660" spans="1:11" x14ac:dyDescent="0.3">
      <c r="A660" s="9" t="s">
        <v>1586</v>
      </c>
      <c r="B660" s="5" t="s">
        <v>1587</v>
      </c>
      <c r="C660" s="5">
        <v>1</v>
      </c>
      <c r="D660" s="5">
        <v>1</v>
      </c>
      <c r="E660" s="5">
        <v>1000000</v>
      </c>
      <c r="F660" s="5">
        <v>500</v>
      </c>
      <c r="G660" s="5">
        <v>1000</v>
      </c>
      <c r="H660" s="5">
        <v>1000</v>
      </c>
      <c r="I660" s="5">
        <v>100</v>
      </c>
      <c r="J660" s="5">
        <v>1000</v>
      </c>
      <c r="K660" s="5">
        <v>1000</v>
      </c>
    </row>
    <row r="661" spans="1:11" x14ac:dyDescent="0.3">
      <c r="A661" s="9" t="s">
        <v>1829</v>
      </c>
      <c r="B661" s="5" t="s">
        <v>1830</v>
      </c>
      <c r="C661" s="5">
        <v>7</v>
      </c>
      <c r="D661" s="5">
        <v>54</v>
      </c>
      <c r="E661" s="5">
        <v>350000</v>
      </c>
      <c r="F661" s="5">
        <v>100</v>
      </c>
      <c r="G661" s="5">
        <v>5</v>
      </c>
      <c r="H661" s="5">
        <v>6</v>
      </c>
      <c r="I661" s="5">
        <v>-94</v>
      </c>
      <c r="J661" s="5">
        <v>5</v>
      </c>
      <c r="K661" s="5">
        <v>33</v>
      </c>
    </row>
    <row r="662" spans="1:11" x14ac:dyDescent="0.3">
      <c r="A662" s="9" t="s">
        <v>1069</v>
      </c>
      <c r="B662" s="5" t="s">
        <v>1070</v>
      </c>
      <c r="C662" s="5">
        <v>0</v>
      </c>
      <c r="D662" s="5">
        <v>0</v>
      </c>
      <c r="E662" s="5">
        <v>0</v>
      </c>
      <c r="F662" s="5">
        <v>210</v>
      </c>
      <c r="G662" s="5">
        <v>0</v>
      </c>
      <c r="H662" s="5">
        <v>210</v>
      </c>
      <c r="I662" s="5">
        <v>0</v>
      </c>
      <c r="J662" s="5">
        <v>0</v>
      </c>
      <c r="K662" s="5">
        <v>0</v>
      </c>
    </row>
    <row r="663" spans="1:11" x14ac:dyDescent="0.3">
      <c r="A663" s="9" t="s">
        <v>1154</v>
      </c>
      <c r="B663" s="5" t="s">
        <v>1155</v>
      </c>
      <c r="C663" s="5">
        <v>67</v>
      </c>
      <c r="D663" s="5">
        <v>6260</v>
      </c>
      <c r="E663" s="5">
        <v>899372000</v>
      </c>
      <c r="F663" s="5">
        <v>144</v>
      </c>
      <c r="G663" s="5">
        <v>150</v>
      </c>
      <c r="H663" s="5">
        <v>144</v>
      </c>
      <c r="I663" s="5">
        <v>0</v>
      </c>
      <c r="J663" s="5">
        <v>110</v>
      </c>
      <c r="K663" s="5">
        <v>200</v>
      </c>
    </row>
    <row r="664" spans="1:11" x14ac:dyDescent="0.3">
      <c r="A664" s="9" t="s">
        <v>1099</v>
      </c>
      <c r="B664" s="5" t="s">
        <v>1100</v>
      </c>
      <c r="C664" s="5">
        <v>0</v>
      </c>
      <c r="D664" s="5">
        <v>0</v>
      </c>
      <c r="E664" s="5">
        <v>0</v>
      </c>
      <c r="F664" s="5">
        <v>999</v>
      </c>
      <c r="G664" s="5">
        <v>0</v>
      </c>
      <c r="H664" s="5">
        <v>999</v>
      </c>
      <c r="I664" s="5">
        <v>0</v>
      </c>
      <c r="J664" s="5">
        <v>0</v>
      </c>
      <c r="K664" s="5">
        <v>0</v>
      </c>
    </row>
    <row r="665" spans="1:11" x14ac:dyDescent="0.3">
      <c r="A665" s="9" t="s">
        <v>554</v>
      </c>
      <c r="B665" s="5" t="s">
        <v>555</v>
      </c>
      <c r="C665" s="5">
        <v>1</v>
      </c>
      <c r="D665" s="5">
        <v>1</v>
      </c>
      <c r="E665" s="5">
        <v>835000</v>
      </c>
      <c r="F665" s="5">
        <v>875</v>
      </c>
      <c r="G665" s="5">
        <v>835</v>
      </c>
      <c r="H665" s="5">
        <v>835</v>
      </c>
      <c r="I665" s="5">
        <v>-4.57</v>
      </c>
      <c r="J665" s="5">
        <v>835</v>
      </c>
      <c r="K665" s="5">
        <v>835</v>
      </c>
    </row>
    <row r="666" spans="1:11" x14ac:dyDescent="0.3">
      <c r="A666" s="9" t="s">
        <v>814</v>
      </c>
      <c r="B666" s="5" t="s">
        <v>815</v>
      </c>
      <c r="C666" s="5">
        <v>1</v>
      </c>
      <c r="D666" s="5">
        <v>1</v>
      </c>
      <c r="E666" s="5">
        <v>600000</v>
      </c>
      <c r="F666" s="5">
        <v>556</v>
      </c>
      <c r="G666" s="5">
        <v>600</v>
      </c>
      <c r="H666" s="5">
        <v>600</v>
      </c>
      <c r="I666" s="5">
        <v>7.91</v>
      </c>
      <c r="J666" s="5">
        <v>600</v>
      </c>
      <c r="K666" s="5">
        <v>600</v>
      </c>
    </row>
    <row r="667" spans="1:11" x14ac:dyDescent="0.3">
      <c r="A667" s="9" t="s">
        <v>1767</v>
      </c>
      <c r="B667" s="5" t="s">
        <v>1768</v>
      </c>
      <c r="C667" s="5">
        <v>1</v>
      </c>
      <c r="D667" s="5">
        <v>50</v>
      </c>
      <c r="E667" s="5">
        <v>2987500</v>
      </c>
      <c r="F667" s="5">
        <v>102</v>
      </c>
      <c r="G667" s="5">
        <v>50</v>
      </c>
      <c r="H667" s="5">
        <v>50</v>
      </c>
      <c r="I667" s="5">
        <v>-50.98</v>
      </c>
      <c r="J667" s="5">
        <v>50</v>
      </c>
      <c r="K667" s="5">
        <v>50</v>
      </c>
    </row>
    <row r="668" spans="1:11" x14ac:dyDescent="0.3">
      <c r="A668" s="9" t="s">
        <v>1727</v>
      </c>
      <c r="B668" s="5" t="s">
        <v>1728</v>
      </c>
      <c r="C668" s="5">
        <v>0</v>
      </c>
      <c r="D668" s="5">
        <v>0</v>
      </c>
      <c r="E668" s="5">
        <v>0</v>
      </c>
      <c r="F668" s="5">
        <v>85</v>
      </c>
      <c r="G668" s="5">
        <v>0</v>
      </c>
      <c r="H668" s="5">
        <v>85</v>
      </c>
      <c r="I668" s="5">
        <v>0</v>
      </c>
      <c r="J668" s="5">
        <v>0</v>
      </c>
      <c r="K668" s="5">
        <v>0</v>
      </c>
    </row>
    <row r="669" spans="1:11" x14ac:dyDescent="0.3">
      <c r="A669" s="9" t="s">
        <v>1736</v>
      </c>
      <c r="B669" s="5" t="s">
        <v>1737</v>
      </c>
      <c r="C669" s="5">
        <v>0</v>
      </c>
      <c r="D669" s="5">
        <v>0</v>
      </c>
      <c r="E669" s="5">
        <v>0</v>
      </c>
      <c r="F669" s="5">
        <v>700</v>
      </c>
      <c r="G669" s="5">
        <v>0</v>
      </c>
      <c r="H669" s="5">
        <v>700</v>
      </c>
      <c r="I669" s="5">
        <v>0</v>
      </c>
      <c r="J669" s="5">
        <v>0</v>
      </c>
      <c r="K669" s="5">
        <v>0</v>
      </c>
    </row>
    <row r="670" spans="1:11" x14ac:dyDescent="0.3">
      <c r="A670" s="9" t="s">
        <v>1765</v>
      </c>
      <c r="B670" s="5" t="s">
        <v>1766</v>
      </c>
      <c r="C670" s="5">
        <v>0</v>
      </c>
      <c r="D670" s="5">
        <v>0</v>
      </c>
      <c r="E670" s="5">
        <v>0</v>
      </c>
      <c r="F670" s="5">
        <v>150</v>
      </c>
      <c r="G670" s="5">
        <v>0</v>
      </c>
      <c r="H670" s="5">
        <v>150</v>
      </c>
      <c r="I670" s="5">
        <v>0</v>
      </c>
      <c r="J670" s="5">
        <v>0</v>
      </c>
      <c r="K670" s="5">
        <v>0</v>
      </c>
    </row>
    <row r="671" spans="1:11" x14ac:dyDescent="0.3">
      <c r="A671" s="9" t="s">
        <v>1702</v>
      </c>
      <c r="B671" s="5" t="s">
        <v>1703</v>
      </c>
      <c r="C671" s="5">
        <v>1</v>
      </c>
      <c r="D671" s="5">
        <v>15</v>
      </c>
      <c r="E671" s="5">
        <v>195120</v>
      </c>
      <c r="F671" s="5">
        <v>100</v>
      </c>
      <c r="G671" s="5">
        <v>12</v>
      </c>
      <c r="H671" s="5">
        <v>12</v>
      </c>
      <c r="I671" s="5">
        <v>-88</v>
      </c>
      <c r="J671" s="5">
        <v>12</v>
      </c>
      <c r="K671" s="5">
        <v>12</v>
      </c>
    </row>
    <row r="672" spans="1:11" x14ac:dyDescent="0.3">
      <c r="A672" s="9" t="s">
        <v>686</v>
      </c>
      <c r="B672" s="5" t="s">
        <v>687</v>
      </c>
      <c r="C672" s="5">
        <v>41</v>
      </c>
      <c r="D672" s="5">
        <v>9732</v>
      </c>
      <c r="E672" s="5">
        <v>2461257772</v>
      </c>
      <c r="F672" s="5">
        <v>199</v>
      </c>
      <c r="G672" s="5">
        <v>220</v>
      </c>
      <c r="H672" s="5">
        <v>233</v>
      </c>
      <c r="I672" s="5">
        <v>17.09</v>
      </c>
      <c r="J672" s="5">
        <v>200</v>
      </c>
      <c r="K672" s="5">
        <v>270</v>
      </c>
    </row>
    <row r="673" spans="1:11" x14ac:dyDescent="0.3">
      <c r="A673" s="9" t="s">
        <v>965</v>
      </c>
      <c r="B673" s="5" t="s">
        <v>966</v>
      </c>
      <c r="C673" s="5">
        <v>0</v>
      </c>
      <c r="D673" s="5">
        <v>0</v>
      </c>
      <c r="E673" s="5">
        <v>0</v>
      </c>
      <c r="F673" s="5">
        <v>1000</v>
      </c>
      <c r="G673" s="5">
        <v>0</v>
      </c>
      <c r="H673" s="5">
        <v>1000</v>
      </c>
      <c r="I673" s="5">
        <v>0</v>
      </c>
      <c r="J673" s="5">
        <v>0</v>
      </c>
      <c r="K673" s="5">
        <v>0</v>
      </c>
    </row>
    <row r="674" spans="1:11" x14ac:dyDescent="0.3">
      <c r="A674" s="9" t="s">
        <v>675</v>
      </c>
      <c r="B674" s="5" t="s">
        <v>676</v>
      </c>
      <c r="C674" s="5">
        <v>0</v>
      </c>
      <c r="D674" s="5">
        <v>0</v>
      </c>
      <c r="E674" s="5">
        <v>0</v>
      </c>
      <c r="F674" s="5">
        <v>850</v>
      </c>
      <c r="G674" s="5">
        <v>0</v>
      </c>
      <c r="H674" s="5">
        <v>850</v>
      </c>
      <c r="I674" s="5">
        <v>0</v>
      </c>
      <c r="J674" s="5">
        <v>0</v>
      </c>
      <c r="K674" s="5">
        <v>0</v>
      </c>
    </row>
    <row r="675" spans="1:11" x14ac:dyDescent="0.3">
      <c r="A675" s="9" t="s">
        <v>734</v>
      </c>
      <c r="B675" s="5" t="s">
        <v>735</v>
      </c>
      <c r="C675" s="5">
        <v>100</v>
      </c>
      <c r="D675" s="5">
        <v>100000</v>
      </c>
      <c r="E675" s="5">
        <v>151760000000</v>
      </c>
      <c r="F675" s="5">
        <v>1182</v>
      </c>
      <c r="G675" s="5">
        <v>1400</v>
      </c>
      <c r="H675" s="5">
        <v>1400</v>
      </c>
      <c r="I675" s="5">
        <v>18.440000000000001</v>
      </c>
      <c r="J675" s="5">
        <v>1400</v>
      </c>
      <c r="K675" s="5">
        <v>1400</v>
      </c>
    </row>
    <row r="676" spans="1:11" x14ac:dyDescent="0.3">
      <c r="A676" s="9" t="s">
        <v>838</v>
      </c>
      <c r="B676" s="5" t="s">
        <v>839</v>
      </c>
      <c r="C676" s="5">
        <v>0</v>
      </c>
      <c r="D676" s="5">
        <v>0</v>
      </c>
      <c r="E676" s="5">
        <v>0</v>
      </c>
      <c r="F676" s="5">
        <v>150</v>
      </c>
      <c r="G676" s="5">
        <v>0</v>
      </c>
      <c r="H676" s="5">
        <v>150</v>
      </c>
      <c r="I676" s="5">
        <v>0</v>
      </c>
      <c r="J676" s="5">
        <v>0</v>
      </c>
      <c r="K676" s="5">
        <v>0</v>
      </c>
    </row>
    <row r="677" spans="1:11" x14ac:dyDescent="0.3">
      <c r="A677" s="9" t="s">
        <v>1700</v>
      </c>
      <c r="B677" s="5" t="s">
        <v>1701</v>
      </c>
      <c r="C677" s="5">
        <v>2</v>
      </c>
      <c r="D677" s="5">
        <v>19</v>
      </c>
      <c r="E677" s="5">
        <v>7600000</v>
      </c>
      <c r="F677" s="5">
        <v>350</v>
      </c>
      <c r="G677" s="5">
        <v>400</v>
      </c>
      <c r="H677" s="5">
        <v>400</v>
      </c>
      <c r="I677" s="5">
        <v>14.29</v>
      </c>
      <c r="J677" s="5">
        <v>400</v>
      </c>
      <c r="K677" s="5">
        <v>400</v>
      </c>
    </row>
    <row r="678" spans="1:11" x14ac:dyDescent="0.3">
      <c r="A678" s="9" t="s">
        <v>470</v>
      </c>
      <c r="B678" s="5" t="s">
        <v>469</v>
      </c>
      <c r="C678" s="5">
        <v>32</v>
      </c>
      <c r="D678" s="5">
        <v>116358</v>
      </c>
      <c r="E678" s="5">
        <v>7597788020</v>
      </c>
      <c r="F678" s="5">
        <v>62710</v>
      </c>
      <c r="G678" s="5">
        <v>64500</v>
      </c>
      <c r="H678" s="5">
        <v>65300</v>
      </c>
      <c r="I678" s="5">
        <v>4.13</v>
      </c>
      <c r="J678" s="5">
        <v>64000</v>
      </c>
      <c r="K678" s="5">
        <v>66780</v>
      </c>
    </row>
    <row r="679" spans="1:11" x14ac:dyDescent="0.3">
      <c r="A679" s="9" t="s">
        <v>1827</v>
      </c>
      <c r="B679" s="5" t="s">
        <v>469</v>
      </c>
      <c r="C679" s="5">
        <v>1</v>
      </c>
      <c r="D679" s="5">
        <v>110000</v>
      </c>
      <c r="E679" s="5">
        <v>110000</v>
      </c>
      <c r="F679" s="5">
        <v>62710</v>
      </c>
      <c r="G679" s="5">
        <v>1</v>
      </c>
      <c r="H679" s="5">
        <v>1</v>
      </c>
      <c r="I679" s="5">
        <v>-100</v>
      </c>
      <c r="J679" s="5">
        <v>1</v>
      </c>
      <c r="K679" s="5">
        <v>1</v>
      </c>
    </row>
    <row r="680" spans="1:11" x14ac:dyDescent="0.3">
      <c r="A680" s="9" t="s">
        <v>429</v>
      </c>
      <c r="B680" s="5" t="s">
        <v>1288</v>
      </c>
      <c r="C680" s="5">
        <v>6150</v>
      </c>
      <c r="D680" s="5">
        <v>9143135</v>
      </c>
      <c r="E680" s="5">
        <v>685226298369</v>
      </c>
      <c r="F680" s="5">
        <v>73025</v>
      </c>
      <c r="G680" s="5">
        <v>75205</v>
      </c>
      <c r="H680" s="5">
        <v>74944</v>
      </c>
      <c r="I680" s="5">
        <v>2.63</v>
      </c>
      <c r="J680" s="5">
        <v>74000</v>
      </c>
      <c r="K680" s="5">
        <v>75500</v>
      </c>
    </row>
    <row r="681" spans="1:11" x14ac:dyDescent="0.3">
      <c r="A681" s="9" t="s">
        <v>1536</v>
      </c>
      <c r="B681" s="5" t="s">
        <v>1288</v>
      </c>
      <c r="C681" s="5">
        <v>265</v>
      </c>
      <c r="D681" s="5">
        <v>2640000</v>
      </c>
      <c r="E681" s="5">
        <v>2640000</v>
      </c>
      <c r="F681" s="5">
        <v>73025</v>
      </c>
      <c r="G681" s="5">
        <v>1</v>
      </c>
      <c r="H681" s="5">
        <v>1</v>
      </c>
      <c r="I681" s="5">
        <v>-100</v>
      </c>
      <c r="J681" s="5">
        <v>1</v>
      </c>
      <c r="K681" s="5">
        <v>1</v>
      </c>
    </row>
    <row r="682" spans="1:11" x14ac:dyDescent="0.3">
      <c r="A682" s="9" t="s">
        <v>1720</v>
      </c>
      <c r="B682" s="5" t="s">
        <v>1721</v>
      </c>
      <c r="C682" s="5">
        <v>2320</v>
      </c>
      <c r="D682" s="5">
        <v>5423987</v>
      </c>
      <c r="E682" s="5">
        <v>211084576080</v>
      </c>
      <c r="F682" s="5">
        <v>39730</v>
      </c>
      <c r="G682" s="5">
        <v>40900</v>
      </c>
      <c r="H682" s="5">
        <v>38920</v>
      </c>
      <c r="I682" s="5">
        <v>-2.04</v>
      </c>
      <c r="J682" s="5">
        <v>38170</v>
      </c>
      <c r="K682" s="5">
        <v>40900</v>
      </c>
    </row>
    <row r="683" spans="1:11" x14ac:dyDescent="0.3">
      <c r="A683" s="9" t="s">
        <v>1592</v>
      </c>
      <c r="B683" s="5" t="s">
        <v>1593</v>
      </c>
      <c r="C683" s="5">
        <v>1013</v>
      </c>
      <c r="D683" s="5">
        <v>2824718</v>
      </c>
      <c r="E683" s="5">
        <v>112360377870</v>
      </c>
      <c r="F683" s="5">
        <v>38880</v>
      </c>
      <c r="G683" s="5">
        <v>39950</v>
      </c>
      <c r="H683" s="5">
        <v>39780</v>
      </c>
      <c r="I683" s="5">
        <v>2.31</v>
      </c>
      <c r="J683" s="5">
        <v>37820</v>
      </c>
      <c r="K683" s="5">
        <v>40820</v>
      </c>
    </row>
    <row r="684" spans="1:11" x14ac:dyDescent="0.3">
      <c r="A684" s="9" t="s">
        <v>613</v>
      </c>
      <c r="B684" s="5" t="s">
        <v>614</v>
      </c>
      <c r="C684" s="5">
        <v>1403</v>
      </c>
      <c r="D684" s="5">
        <v>26846375</v>
      </c>
      <c r="E684" s="5">
        <v>80813573657</v>
      </c>
      <c r="F684" s="5">
        <v>3011</v>
      </c>
      <c r="G684" s="5">
        <v>3000</v>
      </c>
      <c r="H684" s="5">
        <v>3010</v>
      </c>
      <c r="I684" s="5">
        <v>-0.03</v>
      </c>
      <c r="J684" s="5">
        <v>2971</v>
      </c>
      <c r="K684" s="5">
        <v>3089</v>
      </c>
    </row>
    <row r="685" spans="1:11" x14ac:dyDescent="0.3">
      <c r="A685" s="9" t="s">
        <v>1271</v>
      </c>
      <c r="B685" s="5" t="s">
        <v>1272</v>
      </c>
      <c r="C685" s="5">
        <v>503</v>
      </c>
      <c r="D685" s="5">
        <v>741391</v>
      </c>
      <c r="E685" s="5">
        <v>25173418500</v>
      </c>
      <c r="F685" s="5">
        <v>33950</v>
      </c>
      <c r="G685" s="5">
        <v>33400</v>
      </c>
      <c r="H685" s="5">
        <v>33950</v>
      </c>
      <c r="I685" s="5">
        <v>0</v>
      </c>
      <c r="J685" s="5">
        <v>33400</v>
      </c>
      <c r="K685" s="5">
        <v>34800</v>
      </c>
    </row>
    <row r="686" spans="1:11" x14ac:dyDescent="0.3">
      <c r="A686" s="9" t="s">
        <v>518</v>
      </c>
      <c r="B686" s="5" t="s">
        <v>513</v>
      </c>
      <c r="C686" s="5">
        <v>588</v>
      </c>
      <c r="D686" s="5">
        <v>2125101</v>
      </c>
      <c r="E686" s="5">
        <v>29444513790</v>
      </c>
      <c r="F686" s="5">
        <v>13900</v>
      </c>
      <c r="G686" s="5">
        <v>13990</v>
      </c>
      <c r="H686" s="5">
        <v>13860</v>
      </c>
      <c r="I686" s="5">
        <v>-0.28999999999999998</v>
      </c>
      <c r="J686" s="5">
        <v>13580</v>
      </c>
      <c r="K686" s="5">
        <v>14300</v>
      </c>
    </row>
    <row r="687" spans="1:11" x14ac:dyDescent="0.3">
      <c r="A687" s="9" t="s">
        <v>1263</v>
      </c>
      <c r="B687" s="5" t="s">
        <v>1264</v>
      </c>
      <c r="C687" s="5">
        <v>263</v>
      </c>
      <c r="D687" s="5">
        <v>862298</v>
      </c>
      <c r="E687" s="5">
        <v>11003179860</v>
      </c>
      <c r="F687" s="5">
        <v>12900</v>
      </c>
      <c r="G687" s="5">
        <v>13200</v>
      </c>
      <c r="H687" s="5">
        <v>12760</v>
      </c>
      <c r="I687" s="5">
        <v>-1.0900000000000001</v>
      </c>
      <c r="J687" s="5">
        <v>12600</v>
      </c>
      <c r="K687" s="5">
        <v>13200</v>
      </c>
    </row>
    <row r="688" spans="1:11" x14ac:dyDescent="0.3">
      <c r="A688" s="9" t="s">
        <v>1482</v>
      </c>
      <c r="B688" s="5" t="s">
        <v>1483</v>
      </c>
      <c r="C688" s="5">
        <v>1104</v>
      </c>
      <c r="D688" s="5">
        <v>16692377</v>
      </c>
      <c r="E688" s="5">
        <v>65198386078</v>
      </c>
      <c r="F688" s="5">
        <v>3910</v>
      </c>
      <c r="G688" s="5">
        <v>3859</v>
      </c>
      <c r="H688" s="5">
        <v>3906</v>
      </c>
      <c r="I688" s="5">
        <v>-0.1</v>
      </c>
      <c r="J688" s="5">
        <v>3820</v>
      </c>
      <c r="K688" s="5">
        <v>4084</v>
      </c>
    </row>
    <row r="689" spans="1:11" x14ac:dyDescent="0.3">
      <c r="A689" s="9" t="s">
        <v>892</v>
      </c>
      <c r="B689" s="5" t="s">
        <v>893</v>
      </c>
      <c r="C689" s="5">
        <v>592</v>
      </c>
      <c r="D689" s="5">
        <v>5091999</v>
      </c>
      <c r="E689" s="5">
        <v>27133728950</v>
      </c>
      <c r="F689" s="5">
        <v>5400</v>
      </c>
      <c r="G689" s="5">
        <v>5330</v>
      </c>
      <c r="H689" s="5">
        <v>5330</v>
      </c>
      <c r="I689" s="5">
        <v>-1.3</v>
      </c>
      <c r="J689" s="5">
        <v>5200</v>
      </c>
      <c r="K689" s="5">
        <v>5480</v>
      </c>
    </row>
    <row r="690" spans="1:11" x14ac:dyDescent="0.3">
      <c r="A690" s="9" t="s">
        <v>1554</v>
      </c>
      <c r="B690" s="5" t="s">
        <v>1555</v>
      </c>
      <c r="C690" s="5">
        <v>907</v>
      </c>
      <c r="D690" s="5">
        <v>1022251</v>
      </c>
      <c r="E690" s="5">
        <v>48091691070</v>
      </c>
      <c r="F690" s="5">
        <v>47590</v>
      </c>
      <c r="G690" s="5">
        <v>49000</v>
      </c>
      <c r="H690" s="5">
        <v>47040</v>
      </c>
      <c r="I690" s="5">
        <v>-1.1599999999999999</v>
      </c>
      <c r="J690" s="5">
        <v>46210</v>
      </c>
      <c r="K690" s="5">
        <v>49000</v>
      </c>
    </row>
    <row r="691" spans="1:11" x14ac:dyDescent="0.3">
      <c r="A691" s="9" t="s">
        <v>808</v>
      </c>
      <c r="B691" s="5" t="s">
        <v>809</v>
      </c>
      <c r="C691" s="5">
        <v>1889</v>
      </c>
      <c r="D691" s="5">
        <v>7174752</v>
      </c>
      <c r="E691" s="5">
        <v>119762473600</v>
      </c>
      <c r="F691" s="5">
        <v>16750</v>
      </c>
      <c r="G691" s="5">
        <v>16900</v>
      </c>
      <c r="H691" s="5">
        <v>16690</v>
      </c>
      <c r="I691" s="5">
        <v>-0.36</v>
      </c>
      <c r="J691" s="5">
        <v>16220</v>
      </c>
      <c r="K691" s="5">
        <v>17080</v>
      </c>
    </row>
    <row r="692" spans="1:11" x14ac:dyDescent="0.3">
      <c r="A692" s="9" t="s">
        <v>232</v>
      </c>
      <c r="B692" s="5" t="s">
        <v>231</v>
      </c>
      <c r="C692" s="5">
        <v>1651</v>
      </c>
      <c r="D692" s="5">
        <v>18419053</v>
      </c>
      <c r="E692" s="5">
        <v>93340394696</v>
      </c>
      <c r="F692" s="5">
        <v>4953</v>
      </c>
      <c r="G692" s="5">
        <v>5200</v>
      </c>
      <c r="H692" s="5">
        <v>5068</v>
      </c>
      <c r="I692" s="5">
        <v>2.3199999999999998</v>
      </c>
      <c r="J692" s="5">
        <v>4880</v>
      </c>
      <c r="K692" s="5">
        <v>5242</v>
      </c>
    </row>
    <row r="693" spans="1:11" x14ac:dyDescent="0.3">
      <c r="A693" s="9" t="s">
        <v>1165</v>
      </c>
      <c r="B693" s="5" t="s">
        <v>1166</v>
      </c>
      <c r="C693" s="5">
        <v>452</v>
      </c>
      <c r="D693" s="5">
        <v>2567393</v>
      </c>
      <c r="E693" s="5">
        <v>17542226340</v>
      </c>
      <c r="F693" s="5">
        <v>7030</v>
      </c>
      <c r="G693" s="5">
        <v>7080</v>
      </c>
      <c r="H693" s="5">
        <v>6830</v>
      </c>
      <c r="I693" s="5">
        <v>-2.84</v>
      </c>
      <c r="J693" s="5">
        <v>6700</v>
      </c>
      <c r="K693" s="5">
        <v>7120</v>
      </c>
    </row>
    <row r="694" spans="1:11" x14ac:dyDescent="0.3">
      <c r="A694" s="9" t="s">
        <v>1741</v>
      </c>
      <c r="B694" s="5" t="s">
        <v>1742</v>
      </c>
      <c r="C694" s="5">
        <v>444</v>
      </c>
      <c r="D694" s="5">
        <v>3229402</v>
      </c>
      <c r="E694" s="5">
        <v>22766628810</v>
      </c>
      <c r="F694" s="5">
        <v>6790</v>
      </c>
      <c r="G694" s="5">
        <v>6830</v>
      </c>
      <c r="H694" s="5">
        <v>7050</v>
      </c>
      <c r="I694" s="5">
        <v>3.83</v>
      </c>
      <c r="J694" s="5">
        <v>6650</v>
      </c>
      <c r="K694" s="5">
        <v>7260</v>
      </c>
    </row>
    <row r="695" spans="1:11" x14ac:dyDescent="0.3">
      <c r="A695" s="9" t="s">
        <v>1152</v>
      </c>
      <c r="B695" s="5" t="s">
        <v>1153</v>
      </c>
      <c r="C695" s="5">
        <v>625</v>
      </c>
      <c r="D695" s="5">
        <v>2453675</v>
      </c>
      <c r="E695" s="5">
        <v>45280331560</v>
      </c>
      <c r="F695" s="5">
        <v>17730</v>
      </c>
      <c r="G695" s="5">
        <v>17520</v>
      </c>
      <c r="H695" s="5">
        <v>18450</v>
      </c>
      <c r="I695" s="5">
        <v>4.0599999999999996</v>
      </c>
      <c r="J695" s="5">
        <v>17520</v>
      </c>
      <c r="K695" s="5">
        <v>18970</v>
      </c>
    </row>
    <row r="696" spans="1:11" x14ac:dyDescent="0.3">
      <c r="A696" s="9" t="s">
        <v>270</v>
      </c>
      <c r="B696" s="5" t="s">
        <v>269</v>
      </c>
      <c r="C696" s="5">
        <v>315</v>
      </c>
      <c r="D696" s="5">
        <v>3040064</v>
      </c>
      <c r="E696" s="5">
        <v>21581113560</v>
      </c>
      <c r="F696" s="5">
        <v>6870</v>
      </c>
      <c r="G696" s="5">
        <v>6910</v>
      </c>
      <c r="H696" s="5">
        <v>7100</v>
      </c>
      <c r="I696" s="5">
        <v>3.35</v>
      </c>
      <c r="J696" s="5">
        <v>6850</v>
      </c>
      <c r="K696" s="5">
        <v>7210</v>
      </c>
    </row>
    <row r="697" spans="1:11" x14ac:dyDescent="0.3">
      <c r="A697" s="9" t="s">
        <v>667</v>
      </c>
      <c r="B697" s="5" t="s">
        <v>668</v>
      </c>
      <c r="C697" s="5">
        <v>1155</v>
      </c>
      <c r="D697" s="5">
        <v>20810699</v>
      </c>
      <c r="E697" s="5">
        <v>47388187778</v>
      </c>
      <c r="F697" s="5">
        <v>2218</v>
      </c>
      <c r="G697" s="5">
        <v>2301</v>
      </c>
      <c r="H697" s="5">
        <v>2277</v>
      </c>
      <c r="I697" s="5">
        <v>2.66</v>
      </c>
      <c r="J697" s="5">
        <v>2230</v>
      </c>
      <c r="K697" s="5">
        <v>2320</v>
      </c>
    </row>
    <row r="698" spans="1:11" x14ac:dyDescent="0.3">
      <c r="A698" s="9" t="s">
        <v>790</v>
      </c>
      <c r="B698" s="5" t="s">
        <v>791</v>
      </c>
      <c r="C698" s="5">
        <v>71</v>
      </c>
      <c r="D698" s="5">
        <v>685871</v>
      </c>
      <c r="E698" s="5">
        <v>7327300130</v>
      </c>
      <c r="F698" s="5">
        <v>10800</v>
      </c>
      <c r="G698" s="5">
        <v>11110</v>
      </c>
      <c r="H698" s="5">
        <v>10760</v>
      </c>
      <c r="I698" s="5">
        <v>-0.37</v>
      </c>
      <c r="J698" s="5">
        <v>10510</v>
      </c>
      <c r="K698" s="5">
        <v>11110</v>
      </c>
    </row>
    <row r="699" spans="1:11" x14ac:dyDescent="0.3">
      <c r="A699" s="9" t="s">
        <v>19</v>
      </c>
      <c r="B699" s="5" t="s">
        <v>18</v>
      </c>
      <c r="C699" s="5">
        <v>570</v>
      </c>
      <c r="D699" s="5">
        <v>2837958</v>
      </c>
      <c r="E699" s="5">
        <v>35440700810</v>
      </c>
      <c r="F699" s="5">
        <v>12360</v>
      </c>
      <c r="G699" s="5">
        <v>12500</v>
      </c>
      <c r="H699" s="5">
        <v>12490</v>
      </c>
      <c r="I699" s="5">
        <v>1.05</v>
      </c>
      <c r="J699" s="5">
        <v>12200</v>
      </c>
      <c r="K699" s="5">
        <v>12750</v>
      </c>
    </row>
    <row r="700" spans="1:11" x14ac:dyDescent="0.3">
      <c r="A700" s="9" t="s">
        <v>564</v>
      </c>
      <c r="B700" s="5" t="s">
        <v>565</v>
      </c>
      <c r="C700" s="5">
        <v>393</v>
      </c>
      <c r="D700" s="5">
        <v>2035067</v>
      </c>
      <c r="E700" s="5">
        <v>19627168220</v>
      </c>
      <c r="F700" s="5">
        <v>9760</v>
      </c>
      <c r="G700" s="5">
        <v>9920</v>
      </c>
      <c r="H700" s="5">
        <v>9640</v>
      </c>
      <c r="I700" s="5">
        <v>-1.23</v>
      </c>
      <c r="J700" s="5">
        <v>9530</v>
      </c>
      <c r="K700" s="5">
        <v>10040</v>
      </c>
    </row>
    <row r="701" spans="1:11" x14ac:dyDescent="0.3">
      <c r="A701" s="9" t="s">
        <v>597</v>
      </c>
      <c r="B701" s="5" t="s">
        <v>598</v>
      </c>
      <c r="C701" s="5">
        <v>1413</v>
      </c>
      <c r="D701" s="5">
        <v>9314793</v>
      </c>
      <c r="E701" s="5">
        <v>109214388350</v>
      </c>
      <c r="F701" s="5">
        <v>11680</v>
      </c>
      <c r="G701" s="5">
        <v>11700</v>
      </c>
      <c r="H701" s="5">
        <v>11720</v>
      </c>
      <c r="I701" s="5">
        <v>0.34</v>
      </c>
      <c r="J701" s="5">
        <v>11350</v>
      </c>
      <c r="K701" s="5">
        <v>11950</v>
      </c>
    </row>
    <row r="702" spans="1:11" x14ac:dyDescent="0.3">
      <c r="A702" s="9" t="s">
        <v>1725</v>
      </c>
      <c r="B702" s="5" t="s">
        <v>1726</v>
      </c>
      <c r="C702" s="5">
        <v>296</v>
      </c>
      <c r="D702" s="5">
        <v>12666997</v>
      </c>
      <c r="E702" s="5">
        <v>23687284390</v>
      </c>
      <c r="F702" s="5">
        <v>1781</v>
      </c>
      <c r="G702" s="5">
        <v>1870</v>
      </c>
      <c r="H702" s="5">
        <v>1870</v>
      </c>
      <c r="I702" s="5">
        <v>5</v>
      </c>
      <c r="J702" s="5">
        <v>1870</v>
      </c>
      <c r="K702" s="5">
        <v>1870</v>
      </c>
    </row>
    <row r="703" spans="1:11" x14ac:dyDescent="0.3">
      <c r="A703" s="9" t="s">
        <v>1283</v>
      </c>
      <c r="B703" s="5" t="s">
        <v>1284</v>
      </c>
      <c r="C703" s="5">
        <v>298</v>
      </c>
      <c r="D703" s="5">
        <v>4982065</v>
      </c>
      <c r="E703" s="5">
        <v>26943901194</v>
      </c>
      <c r="F703" s="5">
        <v>5608</v>
      </c>
      <c r="G703" s="5">
        <v>5790</v>
      </c>
      <c r="H703" s="5">
        <v>5408</v>
      </c>
      <c r="I703" s="5">
        <v>-3.57</v>
      </c>
      <c r="J703" s="5">
        <v>5328</v>
      </c>
      <c r="K703" s="5">
        <v>5790</v>
      </c>
    </row>
    <row r="704" spans="1:11" x14ac:dyDescent="0.3">
      <c r="A704" s="9" t="s">
        <v>1366</v>
      </c>
      <c r="B704" s="5" t="s">
        <v>1367</v>
      </c>
      <c r="C704" s="5">
        <v>3778</v>
      </c>
      <c r="D704" s="5">
        <v>40655318</v>
      </c>
      <c r="E704" s="5">
        <v>191630619072</v>
      </c>
      <c r="F704" s="5">
        <v>4760</v>
      </c>
      <c r="G704" s="5">
        <v>4880</v>
      </c>
      <c r="H704" s="5">
        <v>4714</v>
      </c>
      <c r="I704" s="5">
        <v>-0.97</v>
      </c>
      <c r="J704" s="5">
        <v>4600</v>
      </c>
      <c r="K704" s="5">
        <v>4900</v>
      </c>
    </row>
    <row r="705" spans="1:11" x14ac:dyDescent="0.3">
      <c r="A705" s="9" t="s">
        <v>1632</v>
      </c>
      <c r="B705" s="5" t="s">
        <v>1633</v>
      </c>
      <c r="C705" s="5">
        <v>1187</v>
      </c>
      <c r="D705" s="5">
        <v>11630326</v>
      </c>
      <c r="E705" s="5">
        <v>199748863230</v>
      </c>
      <c r="F705" s="5">
        <v>16100</v>
      </c>
      <c r="G705" s="5">
        <v>17220</v>
      </c>
      <c r="H705" s="5">
        <v>17170</v>
      </c>
      <c r="I705" s="5">
        <v>6.65</v>
      </c>
      <c r="J705" s="5">
        <v>16500</v>
      </c>
      <c r="K705" s="5">
        <v>17220</v>
      </c>
    </row>
    <row r="706" spans="1:11" x14ac:dyDescent="0.3">
      <c r="A706" s="9" t="s">
        <v>1142</v>
      </c>
      <c r="B706" s="5" t="s">
        <v>1143</v>
      </c>
      <c r="C706" s="5">
        <v>2908</v>
      </c>
      <c r="D706" s="5">
        <v>7672854</v>
      </c>
      <c r="E706" s="5">
        <v>177631392850</v>
      </c>
      <c r="F706" s="5">
        <v>24100</v>
      </c>
      <c r="G706" s="5">
        <v>24000</v>
      </c>
      <c r="H706" s="5">
        <v>23150</v>
      </c>
      <c r="I706" s="5">
        <v>-3.94</v>
      </c>
      <c r="J706" s="5">
        <v>22650</v>
      </c>
      <c r="K706" s="5">
        <v>24700</v>
      </c>
    </row>
    <row r="707" spans="1:11" x14ac:dyDescent="0.3">
      <c r="A707" s="9" t="s">
        <v>770</v>
      </c>
      <c r="B707" s="5" t="s">
        <v>771</v>
      </c>
      <c r="C707" s="5">
        <v>146</v>
      </c>
      <c r="D707" s="5">
        <v>918257</v>
      </c>
      <c r="E707" s="5">
        <v>8544845340</v>
      </c>
      <c r="F707" s="5">
        <v>9130</v>
      </c>
      <c r="G707" s="5">
        <v>9120</v>
      </c>
      <c r="H707" s="5">
        <v>9220</v>
      </c>
      <c r="I707" s="5">
        <v>0.99</v>
      </c>
      <c r="J707" s="5">
        <v>9120</v>
      </c>
      <c r="K707" s="5">
        <v>9500</v>
      </c>
    </row>
    <row r="708" spans="1:11" x14ac:dyDescent="0.3">
      <c r="A708" s="9" t="s">
        <v>367</v>
      </c>
      <c r="B708" s="5" t="s">
        <v>366</v>
      </c>
      <c r="C708" s="5">
        <v>746</v>
      </c>
      <c r="D708" s="5">
        <v>7352495</v>
      </c>
      <c r="E708" s="5">
        <v>71031880320</v>
      </c>
      <c r="F708" s="5">
        <v>9490</v>
      </c>
      <c r="G708" s="5">
        <v>9610</v>
      </c>
      <c r="H708" s="5">
        <v>9660</v>
      </c>
      <c r="I708" s="5">
        <v>1.79</v>
      </c>
      <c r="J708" s="5">
        <v>9200</v>
      </c>
      <c r="K708" s="5">
        <v>9890</v>
      </c>
    </row>
    <row r="709" spans="1:11" x14ac:dyDescent="0.3">
      <c r="A709" s="9" t="s">
        <v>471</v>
      </c>
      <c r="B709" s="5" t="s">
        <v>472</v>
      </c>
      <c r="C709" s="5">
        <v>3416</v>
      </c>
      <c r="D709" s="5">
        <v>23127957</v>
      </c>
      <c r="E709" s="5">
        <v>240677388920</v>
      </c>
      <c r="F709" s="5">
        <v>10320</v>
      </c>
      <c r="G709" s="5">
        <v>10450</v>
      </c>
      <c r="H709" s="5">
        <v>10410</v>
      </c>
      <c r="I709" s="5">
        <v>0.87</v>
      </c>
      <c r="J709" s="5">
        <v>10170</v>
      </c>
      <c r="K709" s="5">
        <v>10550</v>
      </c>
    </row>
    <row r="710" spans="1:11" x14ac:dyDescent="0.3">
      <c r="A710" s="9" t="s">
        <v>851</v>
      </c>
      <c r="B710" s="5" t="s">
        <v>852</v>
      </c>
      <c r="C710" s="5">
        <v>163</v>
      </c>
      <c r="D710" s="5">
        <v>2541649</v>
      </c>
      <c r="E710" s="5">
        <v>15498863110</v>
      </c>
      <c r="F710" s="5">
        <v>6130</v>
      </c>
      <c r="G710" s="5">
        <v>6340</v>
      </c>
      <c r="H710" s="5">
        <v>6100</v>
      </c>
      <c r="I710" s="5">
        <v>-0.49</v>
      </c>
      <c r="J710" s="5">
        <v>5830</v>
      </c>
      <c r="K710" s="5">
        <v>6340</v>
      </c>
    </row>
    <row r="711" spans="1:11" x14ac:dyDescent="0.3">
      <c r="A711" s="9" t="s">
        <v>485</v>
      </c>
      <c r="B711" s="5" t="s">
        <v>486</v>
      </c>
      <c r="C711" s="5">
        <v>3420</v>
      </c>
      <c r="D711" s="5">
        <v>28553009</v>
      </c>
      <c r="E711" s="5">
        <v>196809590470</v>
      </c>
      <c r="F711" s="5">
        <v>6970</v>
      </c>
      <c r="G711" s="5">
        <v>7250</v>
      </c>
      <c r="H711" s="5">
        <v>6890</v>
      </c>
      <c r="I711" s="5">
        <v>-1.1499999999999999</v>
      </c>
      <c r="J711" s="5">
        <v>6700</v>
      </c>
      <c r="K711" s="5">
        <v>7250</v>
      </c>
    </row>
    <row r="712" spans="1:11" x14ac:dyDescent="0.3">
      <c r="A712" s="9" t="s">
        <v>1063</v>
      </c>
      <c r="B712" s="5" t="s">
        <v>1064</v>
      </c>
      <c r="C712" s="5">
        <v>3568</v>
      </c>
      <c r="D712" s="5">
        <v>173297973</v>
      </c>
      <c r="E712" s="5">
        <v>345414075043</v>
      </c>
      <c r="F712" s="5">
        <v>1909</v>
      </c>
      <c r="G712" s="5">
        <v>1990</v>
      </c>
      <c r="H712" s="5">
        <v>1993</v>
      </c>
      <c r="I712" s="5">
        <v>4.4000000000000004</v>
      </c>
      <c r="J712" s="5">
        <v>1919</v>
      </c>
      <c r="K712" s="5">
        <v>2004</v>
      </c>
    </row>
    <row r="713" spans="1:11" x14ac:dyDescent="0.3">
      <c r="A713" s="9" t="s">
        <v>1810</v>
      </c>
      <c r="B713" s="5" t="s">
        <v>1056</v>
      </c>
      <c r="C713" s="5">
        <v>2</v>
      </c>
      <c r="D713" s="5">
        <v>24500000</v>
      </c>
      <c r="E713" s="5">
        <v>266410000000</v>
      </c>
      <c r="F713" s="5">
        <v>10750</v>
      </c>
      <c r="G713" s="5">
        <v>10850</v>
      </c>
      <c r="H713" s="5">
        <v>10874</v>
      </c>
      <c r="I713" s="5">
        <v>1.1499999999999999</v>
      </c>
      <c r="J713" s="5">
        <v>10850</v>
      </c>
      <c r="K713" s="5">
        <v>10980</v>
      </c>
    </row>
    <row r="714" spans="1:11" x14ac:dyDescent="0.3">
      <c r="A714" s="9" t="s">
        <v>1898</v>
      </c>
      <c r="B714" s="5" t="s">
        <v>1899</v>
      </c>
      <c r="C714" s="5">
        <v>331</v>
      </c>
      <c r="D714" s="5">
        <v>8173561</v>
      </c>
      <c r="E714" s="5">
        <v>64489396290</v>
      </c>
      <c r="F714" s="5">
        <v>7380</v>
      </c>
      <c r="G714" s="5">
        <v>7890</v>
      </c>
      <c r="H714" s="5">
        <v>7810</v>
      </c>
      <c r="I714" s="5">
        <v>5.83</v>
      </c>
      <c r="J714" s="5">
        <v>7890</v>
      </c>
      <c r="K714" s="5">
        <v>7890</v>
      </c>
    </row>
    <row r="715" spans="1:11" x14ac:dyDescent="0.3">
      <c r="A715" s="9" t="s">
        <v>1562</v>
      </c>
      <c r="B715" s="5" t="s">
        <v>1563</v>
      </c>
      <c r="C715" s="5">
        <v>128</v>
      </c>
      <c r="D715" s="5">
        <v>435131</v>
      </c>
      <c r="E715" s="5">
        <v>18339220800</v>
      </c>
      <c r="F715" s="5">
        <v>40950</v>
      </c>
      <c r="G715" s="5">
        <v>42100</v>
      </c>
      <c r="H715" s="5">
        <v>42150</v>
      </c>
      <c r="I715" s="5">
        <v>2.93</v>
      </c>
      <c r="J715" s="5">
        <v>42050</v>
      </c>
      <c r="K715" s="5">
        <v>42150</v>
      </c>
    </row>
    <row r="716" spans="1:11" x14ac:dyDescent="0.3">
      <c r="A716" s="9" t="s">
        <v>1476</v>
      </c>
      <c r="B716" s="5" t="s">
        <v>1477</v>
      </c>
      <c r="C716" s="5">
        <v>348</v>
      </c>
      <c r="D716" s="5">
        <v>4167994</v>
      </c>
      <c r="E716" s="5">
        <v>39529138680</v>
      </c>
      <c r="F716" s="5">
        <v>9680</v>
      </c>
      <c r="G716" s="5">
        <v>9970</v>
      </c>
      <c r="H716" s="5">
        <v>9480</v>
      </c>
      <c r="I716" s="5">
        <v>-2.0699999999999998</v>
      </c>
      <c r="J716" s="5">
        <v>9390</v>
      </c>
      <c r="K716" s="5">
        <v>9970</v>
      </c>
    </row>
    <row r="717" spans="1:11" x14ac:dyDescent="0.3">
      <c r="A717" s="9" t="s">
        <v>878</v>
      </c>
      <c r="B717" s="5" t="s">
        <v>879</v>
      </c>
      <c r="C717" s="5">
        <v>420</v>
      </c>
      <c r="D717" s="5">
        <v>2730701</v>
      </c>
      <c r="E717" s="5">
        <v>28625219320</v>
      </c>
      <c r="F717" s="5">
        <v>10200</v>
      </c>
      <c r="G717" s="5">
        <v>10370</v>
      </c>
      <c r="H717" s="5">
        <v>10480</v>
      </c>
      <c r="I717" s="5">
        <v>2.75</v>
      </c>
      <c r="J717" s="5">
        <v>9510</v>
      </c>
      <c r="K717" s="5">
        <v>10910</v>
      </c>
    </row>
    <row r="718" spans="1:11" x14ac:dyDescent="0.3">
      <c r="A718" s="9" t="s">
        <v>661</v>
      </c>
      <c r="B718" s="5" t="s">
        <v>662</v>
      </c>
      <c r="C718" s="5">
        <v>571</v>
      </c>
      <c r="D718" s="5">
        <v>5840683</v>
      </c>
      <c r="E718" s="5">
        <v>38151505430</v>
      </c>
      <c r="F718" s="5">
        <v>6530</v>
      </c>
      <c r="G718" s="5">
        <v>6530</v>
      </c>
      <c r="H718" s="5">
        <v>6530</v>
      </c>
      <c r="I718" s="5">
        <v>0</v>
      </c>
      <c r="J718" s="5">
        <v>6440</v>
      </c>
      <c r="K718" s="5">
        <v>6770</v>
      </c>
    </row>
    <row r="719" spans="1:11" x14ac:dyDescent="0.3">
      <c r="A719" s="9" t="s">
        <v>1558</v>
      </c>
      <c r="B719" s="5" t="s">
        <v>1559</v>
      </c>
      <c r="C719" s="5">
        <v>201</v>
      </c>
      <c r="D719" s="5">
        <v>1277687</v>
      </c>
      <c r="E719" s="5">
        <v>14851114540</v>
      </c>
      <c r="F719" s="5">
        <v>11950</v>
      </c>
      <c r="G719" s="5">
        <v>11770</v>
      </c>
      <c r="H719" s="5">
        <v>11690</v>
      </c>
      <c r="I719" s="5">
        <v>-2.1800000000000002</v>
      </c>
      <c r="J719" s="5">
        <v>11600</v>
      </c>
      <c r="K719" s="5">
        <v>11790</v>
      </c>
    </row>
    <row r="720" spans="1:11" x14ac:dyDescent="0.3">
      <c r="A720" s="9" t="s">
        <v>1073</v>
      </c>
      <c r="B720" s="5" t="s">
        <v>1074</v>
      </c>
      <c r="C720" s="5">
        <v>181</v>
      </c>
      <c r="D720" s="5">
        <v>6227049</v>
      </c>
      <c r="E720" s="5">
        <v>13489421267</v>
      </c>
      <c r="F720" s="5">
        <v>2128</v>
      </c>
      <c r="G720" s="5">
        <v>2150</v>
      </c>
      <c r="H720" s="5">
        <v>2166</v>
      </c>
      <c r="I720" s="5">
        <v>1.79</v>
      </c>
      <c r="J720" s="5">
        <v>2116</v>
      </c>
      <c r="K720" s="5">
        <v>2170</v>
      </c>
    </row>
    <row r="721" spans="1:11" x14ac:dyDescent="0.3">
      <c r="A721" s="9" t="s">
        <v>1326</v>
      </c>
      <c r="B721" s="5" t="s">
        <v>1327</v>
      </c>
      <c r="C721" s="5">
        <v>1776</v>
      </c>
      <c r="D721" s="5">
        <v>2924787</v>
      </c>
      <c r="E721" s="5">
        <v>100866124660</v>
      </c>
      <c r="F721" s="5">
        <v>35290</v>
      </c>
      <c r="G721" s="5">
        <v>35970</v>
      </c>
      <c r="H721" s="5">
        <v>34490</v>
      </c>
      <c r="I721" s="5">
        <v>-2.27</v>
      </c>
      <c r="J721" s="5">
        <v>34000</v>
      </c>
      <c r="K721" s="5">
        <v>35970</v>
      </c>
    </row>
    <row r="722" spans="1:11" x14ac:dyDescent="0.3">
      <c r="A722" s="9" t="s">
        <v>890</v>
      </c>
      <c r="B722" s="5" t="s">
        <v>891</v>
      </c>
      <c r="C722" s="5">
        <v>2010</v>
      </c>
      <c r="D722" s="5">
        <v>7053729</v>
      </c>
      <c r="E722" s="5">
        <v>47862363880</v>
      </c>
      <c r="F722" s="5">
        <v>6930</v>
      </c>
      <c r="G722" s="5">
        <v>7010</v>
      </c>
      <c r="H722" s="5">
        <v>6790</v>
      </c>
      <c r="I722" s="5">
        <v>-2.02</v>
      </c>
      <c r="J722" s="5">
        <v>6650</v>
      </c>
      <c r="K722" s="5">
        <v>7160</v>
      </c>
    </row>
    <row r="723" spans="1:11" x14ac:dyDescent="0.3">
      <c r="A723" s="9" t="s">
        <v>750</v>
      </c>
      <c r="B723" s="5" t="s">
        <v>751</v>
      </c>
      <c r="C723" s="5">
        <v>226</v>
      </c>
      <c r="D723" s="5">
        <v>1731112</v>
      </c>
      <c r="E723" s="5">
        <v>10472706700</v>
      </c>
      <c r="F723" s="5">
        <v>5940</v>
      </c>
      <c r="G723" s="5">
        <v>6170</v>
      </c>
      <c r="H723" s="5">
        <v>6010</v>
      </c>
      <c r="I723" s="5">
        <v>1.18</v>
      </c>
      <c r="J723" s="5">
        <v>6000</v>
      </c>
      <c r="K723" s="5">
        <v>6170</v>
      </c>
    </row>
    <row r="724" spans="1:11" x14ac:dyDescent="0.3">
      <c r="A724" s="9" t="s">
        <v>864</v>
      </c>
      <c r="B724" s="5" t="s">
        <v>865</v>
      </c>
      <c r="C724" s="5">
        <v>256</v>
      </c>
      <c r="D724" s="5">
        <v>5897308</v>
      </c>
      <c r="E724" s="5">
        <v>11387233862</v>
      </c>
      <c r="F724" s="5">
        <v>1919</v>
      </c>
      <c r="G724" s="5">
        <v>1958</v>
      </c>
      <c r="H724" s="5">
        <v>1922</v>
      </c>
      <c r="I724" s="5">
        <v>0.16</v>
      </c>
      <c r="J724" s="5">
        <v>1911</v>
      </c>
      <c r="K724" s="5">
        <v>1958</v>
      </c>
    </row>
    <row r="725" spans="1:11" x14ac:dyDescent="0.3">
      <c r="A725" s="9" t="s">
        <v>969</v>
      </c>
      <c r="B725" s="5" t="s">
        <v>970</v>
      </c>
      <c r="C725" s="5">
        <v>4207</v>
      </c>
      <c r="D725" s="5">
        <v>76879085</v>
      </c>
      <c r="E725" s="5">
        <v>312259686579</v>
      </c>
      <c r="F725" s="5">
        <v>4057</v>
      </c>
      <c r="G725" s="5">
        <v>4199</v>
      </c>
      <c r="H725" s="5">
        <v>4062</v>
      </c>
      <c r="I725" s="5">
        <v>0.12</v>
      </c>
      <c r="J725" s="5">
        <v>3930</v>
      </c>
      <c r="K725" s="5">
        <v>4199</v>
      </c>
    </row>
    <row r="726" spans="1:11" x14ac:dyDescent="0.3">
      <c r="A726" s="9" t="s">
        <v>537</v>
      </c>
      <c r="B726" s="5" t="s">
        <v>538</v>
      </c>
      <c r="C726" s="5">
        <v>11672</v>
      </c>
      <c r="D726" s="5">
        <v>78530788</v>
      </c>
      <c r="E726" s="5">
        <v>1102537045960</v>
      </c>
      <c r="F726" s="5">
        <v>14490</v>
      </c>
      <c r="G726" s="5">
        <v>14930</v>
      </c>
      <c r="H726" s="5">
        <v>14040</v>
      </c>
      <c r="I726" s="5">
        <v>-3.11</v>
      </c>
      <c r="J726" s="5">
        <v>13700</v>
      </c>
      <c r="K726" s="5">
        <v>14930</v>
      </c>
    </row>
    <row r="727" spans="1:11" x14ac:dyDescent="0.3">
      <c r="A727" s="9" t="s">
        <v>324</v>
      </c>
      <c r="B727" s="5" t="s">
        <v>323</v>
      </c>
      <c r="C727" s="5">
        <v>281</v>
      </c>
      <c r="D727" s="5">
        <v>2070301</v>
      </c>
      <c r="E727" s="5">
        <v>40944125698</v>
      </c>
      <c r="F727" s="5">
        <v>19565</v>
      </c>
      <c r="G727" s="5">
        <v>19850</v>
      </c>
      <c r="H727" s="5">
        <v>19777</v>
      </c>
      <c r="I727" s="5">
        <v>1.08</v>
      </c>
      <c r="J727" s="5">
        <v>19566</v>
      </c>
      <c r="K727" s="5">
        <v>20156</v>
      </c>
    </row>
    <row r="728" spans="1:11" x14ac:dyDescent="0.3">
      <c r="A728" s="9" t="s">
        <v>1852</v>
      </c>
      <c r="B728" s="5" t="s">
        <v>323</v>
      </c>
      <c r="C728" s="5">
        <v>3</v>
      </c>
      <c r="D728" s="5">
        <v>2200000</v>
      </c>
      <c r="E728" s="5">
        <v>2200000</v>
      </c>
      <c r="F728" s="5">
        <v>19565</v>
      </c>
      <c r="G728" s="5">
        <v>1</v>
      </c>
      <c r="H728" s="5">
        <v>1</v>
      </c>
      <c r="I728" s="5">
        <v>-99.99</v>
      </c>
      <c r="J728" s="5">
        <v>1</v>
      </c>
      <c r="K728" s="5">
        <v>1</v>
      </c>
    </row>
    <row r="729" spans="1:11" x14ac:dyDescent="0.3">
      <c r="A729" s="9" t="s">
        <v>396</v>
      </c>
      <c r="B729" s="5" t="s">
        <v>395</v>
      </c>
      <c r="C729" s="5">
        <v>698</v>
      </c>
      <c r="D729" s="5">
        <v>2769976</v>
      </c>
      <c r="E729" s="5">
        <v>81060287940</v>
      </c>
      <c r="F729" s="5">
        <v>28090</v>
      </c>
      <c r="G729" s="5">
        <v>28800</v>
      </c>
      <c r="H729" s="5">
        <v>29260</v>
      </c>
      <c r="I729" s="5">
        <v>4.17</v>
      </c>
      <c r="J729" s="5">
        <v>27940</v>
      </c>
      <c r="K729" s="5">
        <v>29980</v>
      </c>
    </row>
    <row r="730" spans="1:11" x14ac:dyDescent="0.3">
      <c r="A730" s="9" t="s">
        <v>1855</v>
      </c>
      <c r="B730" s="5" t="s">
        <v>1856</v>
      </c>
      <c r="C730" s="5">
        <v>40</v>
      </c>
      <c r="D730" s="5">
        <v>8000000</v>
      </c>
      <c r="E730" s="5">
        <v>8000000000000</v>
      </c>
      <c r="F730" s="5">
        <v>1000000</v>
      </c>
      <c r="G730" s="5">
        <v>1000000</v>
      </c>
      <c r="H730" s="5">
        <v>1000000</v>
      </c>
      <c r="I730" s="5">
        <v>0</v>
      </c>
      <c r="J730" s="5">
        <v>1000000</v>
      </c>
      <c r="K730" s="5">
        <v>1000000</v>
      </c>
    </row>
    <row r="731" spans="1:11" x14ac:dyDescent="0.3">
      <c r="A731" s="9" t="s">
        <v>1658</v>
      </c>
      <c r="B731" s="5" t="s">
        <v>58</v>
      </c>
      <c r="C731" s="5">
        <v>109</v>
      </c>
      <c r="D731" s="5">
        <v>107818269</v>
      </c>
      <c r="E731" s="5">
        <v>107818269</v>
      </c>
      <c r="F731" s="5">
        <v>15605</v>
      </c>
      <c r="G731" s="5">
        <v>1</v>
      </c>
      <c r="H731" s="5">
        <v>1</v>
      </c>
      <c r="I731" s="5">
        <v>-99.99</v>
      </c>
      <c r="J731" s="5">
        <v>1</v>
      </c>
      <c r="K731" s="5">
        <v>1</v>
      </c>
    </row>
    <row r="732" spans="1:11" x14ac:dyDescent="0.3">
      <c r="A732" s="9" t="s">
        <v>1680</v>
      </c>
      <c r="B732" s="5" t="s">
        <v>58</v>
      </c>
      <c r="C732" s="5">
        <v>2</v>
      </c>
      <c r="D732" s="5">
        <v>62000000</v>
      </c>
      <c r="E732" s="5">
        <v>969868000000</v>
      </c>
      <c r="F732" s="5">
        <v>15605</v>
      </c>
      <c r="G732" s="5">
        <v>15644</v>
      </c>
      <c r="H732" s="5">
        <v>15643</v>
      </c>
      <c r="I732" s="5">
        <v>0.24</v>
      </c>
      <c r="J732" s="5">
        <v>15642</v>
      </c>
      <c r="K732" s="5">
        <v>15644</v>
      </c>
    </row>
    <row r="733" spans="1:11" x14ac:dyDescent="0.3">
      <c r="A733" s="9" t="s">
        <v>905</v>
      </c>
      <c r="B733" s="5" t="s">
        <v>906</v>
      </c>
      <c r="C733" s="5">
        <v>2947</v>
      </c>
      <c r="D733" s="5">
        <v>2334383</v>
      </c>
      <c r="E733" s="5">
        <v>141184779850</v>
      </c>
      <c r="F733" s="5">
        <v>59350</v>
      </c>
      <c r="G733" s="5">
        <v>60200</v>
      </c>
      <c r="H733" s="5">
        <v>60500</v>
      </c>
      <c r="I733" s="5">
        <v>1.94</v>
      </c>
      <c r="J733" s="5">
        <v>59450</v>
      </c>
      <c r="K733" s="5">
        <v>61950</v>
      </c>
    </row>
    <row r="734" spans="1:11" x14ac:dyDescent="0.3">
      <c r="A734" s="9" t="s">
        <v>1362</v>
      </c>
      <c r="B734" s="5" t="s">
        <v>1363</v>
      </c>
      <c r="C734" s="5">
        <v>491</v>
      </c>
      <c r="D734" s="5">
        <v>3747922</v>
      </c>
      <c r="E734" s="5">
        <v>27936783190</v>
      </c>
      <c r="F734" s="5">
        <v>7400</v>
      </c>
      <c r="G734" s="5">
        <v>7560</v>
      </c>
      <c r="H734" s="5">
        <v>7450</v>
      </c>
      <c r="I734" s="5">
        <v>0.68</v>
      </c>
      <c r="J734" s="5">
        <v>7150</v>
      </c>
      <c r="K734" s="5">
        <v>7700</v>
      </c>
    </row>
    <row r="735" spans="1:11" x14ac:dyDescent="0.3">
      <c r="A735" s="9" t="s">
        <v>1103</v>
      </c>
      <c r="B735" s="5" t="s">
        <v>1104</v>
      </c>
      <c r="C735" s="5">
        <v>974</v>
      </c>
      <c r="D735" s="5">
        <v>5264274</v>
      </c>
      <c r="E735" s="5">
        <v>45389512640</v>
      </c>
      <c r="F735" s="5">
        <v>8530</v>
      </c>
      <c r="G735" s="5">
        <v>9000</v>
      </c>
      <c r="H735" s="5">
        <v>8620</v>
      </c>
      <c r="I735" s="5">
        <v>1.06</v>
      </c>
      <c r="J735" s="5">
        <v>8500</v>
      </c>
      <c r="K735" s="5">
        <v>9000</v>
      </c>
    </row>
    <row r="736" spans="1:11" x14ac:dyDescent="0.3">
      <c r="A736" s="9" t="s">
        <v>1802</v>
      </c>
      <c r="B736" s="5" t="s">
        <v>1803</v>
      </c>
      <c r="C736" s="5">
        <v>3508</v>
      </c>
      <c r="D736" s="5">
        <v>18867178</v>
      </c>
      <c r="E736" s="5">
        <v>626623279150</v>
      </c>
      <c r="F736" s="5">
        <v>29800</v>
      </c>
      <c r="G736" s="5">
        <v>32800</v>
      </c>
      <c r="H736" s="5">
        <v>33200</v>
      </c>
      <c r="I736" s="5">
        <v>11.41</v>
      </c>
      <c r="J736" s="5">
        <v>32750</v>
      </c>
      <c r="K736" s="5">
        <v>34400</v>
      </c>
    </row>
    <row r="737" spans="1:11" x14ac:dyDescent="0.3">
      <c r="A737" s="9" t="s">
        <v>511</v>
      </c>
      <c r="B737" s="5" t="s">
        <v>512</v>
      </c>
      <c r="C737" s="5">
        <v>128</v>
      </c>
      <c r="D737" s="5">
        <v>6967006</v>
      </c>
      <c r="E737" s="5">
        <v>6476290017</v>
      </c>
      <c r="F737" s="5">
        <v>903</v>
      </c>
      <c r="G737" s="5">
        <v>930</v>
      </c>
      <c r="H737" s="5">
        <v>911</v>
      </c>
      <c r="I737" s="5">
        <v>0.89</v>
      </c>
      <c r="J737" s="5">
        <v>911</v>
      </c>
      <c r="K737" s="5">
        <v>930</v>
      </c>
    </row>
    <row r="738" spans="1:11" x14ac:dyDescent="0.3">
      <c r="A738" s="9" t="s">
        <v>334</v>
      </c>
      <c r="B738" s="5" t="s">
        <v>333</v>
      </c>
      <c r="C738" s="5">
        <v>810</v>
      </c>
      <c r="D738" s="5">
        <v>14618074</v>
      </c>
      <c r="E738" s="5">
        <v>77980634778</v>
      </c>
      <c r="F738" s="5">
        <v>5097</v>
      </c>
      <c r="G738" s="5">
        <v>5212</v>
      </c>
      <c r="H738" s="5">
        <v>5335</v>
      </c>
      <c r="I738" s="5">
        <v>4.67</v>
      </c>
      <c r="J738" s="5">
        <v>5180</v>
      </c>
      <c r="K738" s="5">
        <v>5351</v>
      </c>
    </row>
    <row r="739" spans="1:11" x14ac:dyDescent="0.3">
      <c r="A739" s="9" t="s">
        <v>1085</v>
      </c>
      <c r="B739" s="5" t="s">
        <v>1086</v>
      </c>
      <c r="C739" s="5">
        <v>2939</v>
      </c>
      <c r="D739" s="5">
        <v>7891355</v>
      </c>
      <c r="E739" s="5">
        <v>220070187290</v>
      </c>
      <c r="F739" s="5">
        <v>28780</v>
      </c>
      <c r="G739" s="5">
        <v>28100</v>
      </c>
      <c r="H739" s="5">
        <v>27890</v>
      </c>
      <c r="I739" s="5">
        <v>-3.09</v>
      </c>
      <c r="J739" s="5">
        <v>27670</v>
      </c>
      <c r="K739" s="5">
        <v>28900</v>
      </c>
    </row>
    <row r="740" spans="1:11" x14ac:dyDescent="0.3">
      <c r="A740" s="9" t="s">
        <v>1408</v>
      </c>
      <c r="B740" s="5" t="s">
        <v>1409</v>
      </c>
      <c r="C740" s="5">
        <v>2235</v>
      </c>
      <c r="D740" s="5">
        <v>55839114</v>
      </c>
      <c r="E740" s="5">
        <v>439124924400</v>
      </c>
      <c r="F740" s="5">
        <v>7360</v>
      </c>
      <c r="G740" s="5">
        <v>7870</v>
      </c>
      <c r="H740" s="5">
        <v>7860</v>
      </c>
      <c r="I740" s="5">
        <v>6.79</v>
      </c>
      <c r="J740" s="5">
        <v>7610</v>
      </c>
      <c r="K740" s="5">
        <v>7870</v>
      </c>
    </row>
    <row r="741" spans="1:11" x14ac:dyDescent="0.3">
      <c r="A741" s="9" t="s">
        <v>535</v>
      </c>
      <c r="B741" s="5" t="s">
        <v>536</v>
      </c>
      <c r="C741" s="5">
        <v>5</v>
      </c>
      <c r="D741" s="5">
        <v>2730</v>
      </c>
      <c r="E741" s="5">
        <v>223587000</v>
      </c>
      <c r="F741" s="5">
        <v>81100</v>
      </c>
      <c r="G741" s="5">
        <v>81900</v>
      </c>
      <c r="H741" s="5">
        <v>81900</v>
      </c>
      <c r="I741" s="5">
        <v>0.99</v>
      </c>
      <c r="J741" s="5">
        <v>81900</v>
      </c>
      <c r="K741" s="5">
        <v>81900</v>
      </c>
    </row>
    <row r="742" spans="1:11" x14ac:dyDescent="0.3">
      <c r="A742" s="9" t="s">
        <v>989</v>
      </c>
      <c r="B742" s="5" t="s">
        <v>990</v>
      </c>
      <c r="C742" s="5">
        <v>1729</v>
      </c>
      <c r="D742" s="5">
        <v>47208108</v>
      </c>
      <c r="E742" s="5">
        <v>111598675237</v>
      </c>
      <c r="F742" s="5">
        <v>2326</v>
      </c>
      <c r="G742" s="5">
        <v>2390</v>
      </c>
      <c r="H742" s="5">
        <v>2364</v>
      </c>
      <c r="I742" s="5">
        <v>1.63</v>
      </c>
      <c r="J742" s="5">
        <v>2277</v>
      </c>
      <c r="K742" s="5">
        <v>2450</v>
      </c>
    </row>
    <row r="743" spans="1:11" x14ac:dyDescent="0.3">
      <c r="A743" s="9" t="s">
        <v>575</v>
      </c>
      <c r="B743" s="5" t="s">
        <v>576</v>
      </c>
      <c r="C743" s="5">
        <v>1828</v>
      </c>
      <c r="D743" s="5">
        <v>11173149</v>
      </c>
      <c r="E743" s="5">
        <v>208114553180</v>
      </c>
      <c r="F743" s="5">
        <v>18680</v>
      </c>
      <c r="G743" s="5">
        <v>19190</v>
      </c>
      <c r="H743" s="5">
        <v>18630</v>
      </c>
      <c r="I743" s="5">
        <v>-0.27</v>
      </c>
      <c r="J743" s="5">
        <v>18000</v>
      </c>
      <c r="K743" s="5">
        <v>19290</v>
      </c>
    </row>
    <row r="744" spans="1:11" x14ac:dyDescent="0.3">
      <c r="A744" s="9" t="s">
        <v>1280</v>
      </c>
      <c r="B744" s="5" t="s">
        <v>1281</v>
      </c>
      <c r="C744" s="5">
        <v>116</v>
      </c>
      <c r="D744" s="5">
        <v>619111</v>
      </c>
      <c r="E744" s="5">
        <v>3803511070</v>
      </c>
      <c r="F744" s="5">
        <v>6020</v>
      </c>
      <c r="G744" s="5">
        <v>6050</v>
      </c>
      <c r="H744" s="5">
        <v>6140</v>
      </c>
      <c r="I744" s="5">
        <v>1.99</v>
      </c>
      <c r="J744" s="5">
        <v>5920</v>
      </c>
      <c r="K744" s="5">
        <v>6210</v>
      </c>
    </row>
    <row r="745" spans="1:11" x14ac:dyDescent="0.3">
      <c r="A745" s="9" t="s">
        <v>1083</v>
      </c>
      <c r="B745" s="5" t="s">
        <v>1084</v>
      </c>
      <c r="C745" s="5">
        <v>2689</v>
      </c>
      <c r="D745" s="5">
        <v>23001568</v>
      </c>
      <c r="E745" s="5">
        <v>138342420830</v>
      </c>
      <c r="F745" s="5">
        <v>6150</v>
      </c>
      <c r="G745" s="5">
        <v>6160</v>
      </c>
      <c r="H745" s="5">
        <v>6010</v>
      </c>
      <c r="I745" s="5">
        <v>-2.2799999999999998</v>
      </c>
      <c r="J745" s="5">
        <v>5890</v>
      </c>
      <c r="K745" s="5">
        <v>6260</v>
      </c>
    </row>
    <row r="746" spans="1:11" x14ac:dyDescent="0.3">
      <c r="A746" s="9" t="s">
        <v>720</v>
      </c>
      <c r="B746" s="5" t="s">
        <v>721</v>
      </c>
      <c r="C746" s="5">
        <v>252</v>
      </c>
      <c r="D746" s="5">
        <v>1459932</v>
      </c>
      <c r="E746" s="5">
        <v>46807900950</v>
      </c>
      <c r="F746" s="5">
        <v>32950</v>
      </c>
      <c r="G746" s="5">
        <v>32050</v>
      </c>
      <c r="H746" s="5">
        <v>32050</v>
      </c>
      <c r="I746" s="5">
        <v>-2.73</v>
      </c>
      <c r="J746" s="5">
        <v>32000</v>
      </c>
      <c r="K746" s="5">
        <v>33500</v>
      </c>
    </row>
    <row r="747" spans="1:11" x14ac:dyDescent="0.3">
      <c r="A747" s="9" t="s">
        <v>456</v>
      </c>
      <c r="B747" s="5" t="s">
        <v>457</v>
      </c>
      <c r="C747" s="5">
        <v>1523</v>
      </c>
      <c r="D747" s="5">
        <v>30656332</v>
      </c>
      <c r="E747" s="5">
        <v>79862089520</v>
      </c>
      <c r="F747" s="5">
        <v>2563</v>
      </c>
      <c r="G747" s="5">
        <v>2690</v>
      </c>
      <c r="H747" s="5">
        <v>2605</v>
      </c>
      <c r="I747" s="5">
        <v>1.64</v>
      </c>
      <c r="J747" s="5">
        <v>2501</v>
      </c>
      <c r="K747" s="5">
        <v>2690</v>
      </c>
    </row>
    <row r="748" spans="1:11" x14ac:dyDescent="0.3">
      <c r="A748" s="9" t="s">
        <v>973</v>
      </c>
      <c r="B748" s="5" t="s">
        <v>974</v>
      </c>
      <c r="C748" s="5">
        <v>2118</v>
      </c>
      <c r="D748" s="5">
        <v>7158307</v>
      </c>
      <c r="E748" s="5">
        <v>144116782780</v>
      </c>
      <c r="F748" s="5">
        <v>19450</v>
      </c>
      <c r="G748" s="5">
        <v>19350</v>
      </c>
      <c r="H748" s="5">
        <v>20130</v>
      </c>
      <c r="I748" s="5">
        <v>3.5</v>
      </c>
      <c r="J748" s="5">
        <v>19240</v>
      </c>
      <c r="K748" s="5">
        <v>20420</v>
      </c>
    </row>
    <row r="749" spans="1:11" x14ac:dyDescent="0.3">
      <c r="A749" s="9" t="s">
        <v>1871</v>
      </c>
      <c r="B749" s="5" t="s">
        <v>1872</v>
      </c>
      <c r="C749" s="5">
        <v>63</v>
      </c>
      <c r="D749" s="5">
        <v>743843</v>
      </c>
      <c r="E749" s="5">
        <v>3797160366</v>
      </c>
      <c r="F749" s="5">
        <v>4990</v>
      </c>
      <c r="G749" s="5">
        <v>5138</v>
      </c>
      <c r="H749" s="5">
        <v>5011</v>
      </c>
      <c r="I749" s="5">
        <v>0.42</v>
      </c>
      <c r="J749" s="5">
        <v>5050</v>
      </c>
      <c r="K749" s="5">
        <v>5138</v>
      </c>
    </row>
    <row r="750" spans="1:11" x14ac:dyDescent="0.3">
      <c r="A750" s="9" t="s">
        <v>475</v>
      </c>
      <c r="B750" s="5" t="s">
        <v>476</v>
      </c>
      <c r="C750" s="5">
        <v>338</v>
      </c>
      <c r="D750" s="5">
        <v>3865420</v>
      </c>
      <c r="E750" s="5">
        <v>78463035870</v>
      </c>
      <c r="F750" s="5">
        <v>19350</v>
      </c>
      <c r="G750" s="5">
        <v>20310</v>
      </c>
      <c r="H750" s="5">
        <v>20300</v>
      </c>
      <c r="I750" s="5">
        <v>4.91</v>
      </c>
      <c r="J750" s="5">
        <v>20000</v>
      </c>
      <c r="K750" s="5">
        <v>20310</v>
      </c>
    </row>
    <row r="751" spans="1:11" x14ac:dyDescent="0.3">
      <c r="A751" s="9" t="s">
        <v>446</v>
      </c>
      <c r="B751" s="5" t="s">
        <v>447</v>
      </c>
      <c r="C751" s="5">
        <v>224</v>
      </c>
      <c r="D751" s="5">
        <v>4267355</v>
      </c>
      <c r="E751" s="5">
        <v>61252189560</v>
      </c>
      <c r="F751" s="5">
        <v>14720</v>
      </c>
      <c r="G751" s="5">
        <v>14910</v>
      </c>
      <c r="H751" s="5">
        <v>14350</v>
      </c>
      <c r="I751" s="5">
        <v>-2.5099999999999998</v>
      </c>
      <c r="J751" s="5">
        <v>14280</v>
      </c>
      <c r="K751" s="5">
        <v>14910</v>
      </c>
    </row>
    <row r="752" spans="1:11" x14ac:dyDescent="0.3">
      <c r="A752" s="9" t="s">
        <v>1786</v>
      </c>
      <c r="B752" s="5" t="s">
        <v>1787</v>
      </c>
      <c r="C752" s="5">
        <v>25825</v>
      </c>
      <c r="D752" s="5">
        <v>891831928</v>
      </c>
      <c r="E752" s="5">
        <v>5248841901830</v>
      </c>
      <c r="F752" s="5">
        <v>5260</v>
      </c>
      <c r="G752" s="5">
        <v>5770</v>
      </c>
      <c r="H752" s="5">
        <v>5890</v>
      </c>
      <c r="I752" s="5">
        <v>11.98</v>
      </c>
      <c r="J752" s="5">
        <v>5770</v>
      </c>
      <c r="K752" s="5">
        <v>6060</v>
      </c>
    </row>
    <row r="753" spans="1:11" x14ac:dyDescent="0.3">
      <c r="A753" s="9" t="s">
        <v>1801</v>
      </c>
      <c r="B753" s="5" t="s">
        <v>1787</v>
      </c>
      <c r="C753" s="5">
        <v>4</v>
      </c>
      <c r="D753" s="5">
        <v>3194576621</v>
      </c>
      <c r="E753" s="5">
        <v>17154876454770</v>
      </c>
      <c r="F753" s="5">
        <v>5260</v>
      </c>
      <c r="G753" s="5">
        <v>5370</v>
      </c>
      <c r="H753" s="5">
        <v>5370</v>
      </c>
      <c r="I753" s="5">
        <v>2.09</v>
      </c>
      <c r="J753" s="5">
        <v>5370</v>
      </c>
      <c r="K753" s="5">
        <v>5370</v>
      </c>
    </row>
    <row r="754" spans="1:11" x14ac:dyDescent="0.3">
      <c r="A754" s="9" t="s">
        <v>921</v>
      </c>
      <c r="B754" s="5" t="s">
        <v>922</v>
      </c>
      <c r="C754" s="5">
        <v>1755</v>
      </c>
      <c r="D754" s="5">
        <v>22957208</v>
      </c>
      <c r="E754" s="5">
        <v>130402447430</v>
      </c>
      <c r="F754" s="5">
        <v>5840</v>
      </c>
      <c r="G754" s="5">
        <v>5910</v>
      </c>
      <c r="H754" s="5">
        <v>5680</v>
      </c>
      <c r="I754" s="5">
        <v>-2.74</v>
      </c>
      <c r="J754" s="5">
        <v>5530</v>
      </c>
      <c r="K754" s="5">
        <v>5940</v>
      </c>
    </row>
    <row r="755" spans="1:11" x14ac:dyDescent="0.3">
      <c r="A755" s="9" t="s">
        <v>344</v>
      </c>
      <c r="B755" s="5" t="s">
        <v>343</v>
      </c>
      <c r="C755" s="5">
        <v>560</v>
      </c>
      <c r="D755" s="5">
        <v>19299718</v>
      </c>
      <c r="E755" s="5">
        <v>646853486408</v>
      </c>
      <c r="F755" s="5">
        <v>33491</v>
      </c>
      <c r="G755" s="5">
        <v>33514</v>
      </c>
      <c r="H755" s="5">
        <v>33516</v>
      </c>
      <c r="I755" s="5">
        <v>7.0000000000000007E-2</v>
      </c>
      <c r="J755" s="5">
        <v>33514</v>
      </c>
      <c r="K755" s="5">
        <v>33730</v>
      </c>
    </row>
    <row r="756" spans="1:11" x14ac:dyDescent="0.3">
      <c r="A756" s="9" t="s">
        <v>1062</v>
      </c>
      <c r="B756" s="5" t="s">
        <v>343</v>
      </c>
      <c r="C756" s="5">
        <v>70</v>
      </c>
      <c r="D756" s="5">
        <v>69730000</v>
      </c>
      <c r="E756" s="5">
        <v>69730000</v>
      </c>
      <c r="F756" s="5">
        <v>33491</v>
      </c>
      <c r="G756" s="5">
        <v>1</v>
      </c>
      <c r="H756" s="5">
        <v>1</v>
      </c>
      <c r="I756" s="5">
        <v>-100</v>
      </c>
      <c r="J756" s="5">
        <v>1</v>
      </c>
      <c r="K756" s="5">
        <v>1</v>
      </c>
    </row>
    <row r="757" spans="1:11" x14ac:dyDescent="0.3">
      <c r="A757" s="9" t="s">
        <v>1734</v>
      </c>
      <c r="B757" s="5" t="s">
        <v>343</v>
      </c>
      <c r="C757" s="5">
        <v>1</v>
      </c>
      <c r="D757" s="5">
        <v>59730000</v>
      </c>
      <c r="E757" s="5">
        <v>1999999320000</v>
      </c>
      <c r="F757" s="5">
        <v>33491</v>
      </c>
      <c r="G757" s="5">
        <v>33484</v>
      </c>
      <c r="H757" s="5">
        <v>33484</v>
      </c>
      <c r="I757" s="5">
        <v>-0.02</v>
      </c>
      <c r="J757" s="5">
        <v>33484</v>
      </c>
      <c r="K757" s="5">
        <v>33484</v>
      </c>
    </row>
    <row r="758" spans="1:11" x14ac:dyDescent="0.3">
      <c r="A758" s="9" t="s">
        <v>53</v>
      </c>
      <c r="B758" s="5" t="s">
        <v>52</v>
      </c>
      <c r="C758" s="5">
        <v>330</v>
      </c>
      <c r="D758" s="5">
        <v>1380070</v>
      </c>
      <c r="E758" s="5">
        <v>35180399540</v>
      </c>
      <c r="F758" s="5">
        <v>24850</v>
      </c>
      <c r="G758" s="5">
        <v>25530</v>
      </c>
      <c r="H758" s="5">
        <v>25490</v>
      </c>
      <c r="I758" s="5">
        <v>2.58</v>
      </c>
      <c r="J758" s="5">
        <v>24400</v>
      </c>
      <c r="K758" s="5">
        <v>26000</v>
      </c>
    </row>
    <row r="759" spans="1:11" x14ac:dyDescent="0.3">
      <c r="A759" s="9" t="s">
        <v>1075</v>
      </c>
      <c r="B759" s="5" t="s">
        <v>1076</v>
      </c>
      <c r="C759" s="5">
        <v>29</v>
      </c>
      <c r="D759" s="5">
        <v>8349</v>
      </c>
      <c r="E759" s="5">
        <v>1124289900</v>
      </c>
      <c r="F759" s="5">
        <v>132250</v>
      </c>
      <c r="G759" s="5">
        <v>132000</v>
      </c>
      <c r="H759" s="5">
        <v>132400</v>
      </c>
      <c r="I759" s="5">
        <v>0.11</v>
      </c>
      <c r="J759" s="5">
        <v>132000</v>
      </c>
      <c r="K759" s="5">
        <v>135900</v>
      </c>
    </row>
    <row r="760" spans="1:11" x14ac:dyDescent="0.3">
      <c r="A760" s="9" t="s">
        <v>648</v>
      </c>
      <c r="B760" s="5" t="s">
        <v>649</v>
      </c>
      <c r="C760" s="5">
        <v>107</v>
      </c>
      <c r="D760" s="5">
        <v>253083</v>
      </c>
      <c r="E760" s="5">
        <v>2466240080</v>
      </c>
      <c r="F760" s="5">
        <v>9620</v>
      </c>
      <c r="G760" s="5">
        <v>9800</v>
      </c>
      <c r="H760" s="5">
        <v>9640</v>
      </c>
      <c r="I760" s="5">
        <v>0.21</v>
      </c>
      <c r="J760" s="5">
        <v>9310</v>
      </c>
      <c r="K760" s="5">
        <v>10290</v>
      </c>
    </row>
    <row r="761" spans="1:11" x14ac:dyDescent="0.3">
      <c r="A761" s="9" t="s">
        <v>1372</v>
      </c>
      <c r="B761" s="5" t="s">
        <v>1373</v>
      </c>
      <c r="C761" s="5">
        <v>69</v>
      </c>
      <c r="D761" s="5">
        <v>262355</v>
      </c>
      <c r="E761" s="5">
        <v>4701874890</v>
      </c>
      <c r="F761" s="5">
        <v>17680</v>
      </c>
      <c r="G761" s="5">
        <v>18060</v>
      </c>
      <c r="H761" s="5">
        <v>17740</v>
      </c>
      <c r="I761" s="5">
        <v>0.34</v>
      </c>
      <c r="J761" s="5">
        <v>17730</v>
      </c>
      <c r="K761" s="5">
        <v>18190</v>
      </c>
    </row>
    <row r="762" spans="1:11" x14ac:dyDescent="0.3">
      <c r="A762" s="9" t="s">
        <v>1334</v>
      </c>
      <c r="B762" s="5" t="s">
        <v>1335</v>
      </c>
      <c r="C762" s="5">
        <v>1679</v>
      </c>
      <c r="D762" s="5">
        <v>41940281</v>
      </c>
      <c r="E762" s="5">
        <v>106010651107</v>
      </c>
      <c r="F762" s="5">
        <v>2512</v>
      </c>
      <c r="G762" s="5">
        <v>2570</v>
      </c>
      <c r="H762" s="5">
        <v>2528</v>
      </c>
      <c r="I762" s="5">
        <v>0.64</v>
      </c>
      <c r="J762" s="5">
        <v>2472</v>
      </c>
      <c r="K762" s="5">
        <v>2589</v>
      </c>
    </row>
    <row r="763" spans="1:11" x14ac:dyDescent="0.3">
      <c r="A763" s="9" t="s">
        <v>1163</v>
      </c>
      <c r="B763" s="5" t="s">
        <v>1164</v>
      </c>
      <c r="C763" s="5">
        <v>2443</v>
      </c>
      <c r="D763" s="5">
        <v>18946656</v>
      </c>
      <c r="E763" s="5">
        <v>154172283910</v>
      </c>
      <c r="F763" s="5">
        <v>8050</v>
      </c>
      <c r="G763" s="5">
        <v>8250</v>
      </c>
      <c r="H763" s="5">
        <v>8140</v>
      </c>
      <c r="I763" s="5">
        <v>1.1200000000000001</v>
      </c>
      <c r="J763" s="5">
        <v>8050</v>
      </c>
      <c r="K763" s="5">
        <v>8260</v>
      </c>
    </row>
    <row r="764" spans="1:11" x14ac:dyDescent="0.3">
      <c r="A764" s="9" t="s">
        <v>1050</v>
      </c>
      <c r="B764" s="5" t="s">
        <v>1051</v>
      </c>
      <c r="C764" s="5">
        <v>1148</v>
      </c>
      <c r="D764" s="5">
        <v>6341711</v>
      </c>
      <c r="E764" s="5">
        <v>74324538890</v>
      </c>
      <c r="F764" s="5">
        <v>11620</v>
      </c>
      <c r="G764" s="5">
        <v>11810</v>
      </c>
      <c r="H764" s="5">
        <v>11720</v>
      </c>
      <c r="I764" s="5">
        <v>0.86</v>
      </c>
      <c r="J764" s="5">
        <v>11240</v>
      </c>
      <c r="K764" s="5">
        <v>12000</v>
      </c>
    </row>
    <row r="765" spans="1:11" x14ac:dyDescent="0.3">
      <c r="A765" s="9" t="s">
        <v>412</v>
      </c>
      <c r="B765" s="5" t="s">
        <v>413</v>
      </c>
      <c r="C765" s="5">
        <v>418</v>
      </c>
      <c r="D765" s="5">
        <v>4540157</v>
      </c>
      <c r="E765" s="5">
        <v>31862316070</v>
      </c>
      <c r="F765" s="5">
        <v>6830</v>
      </c>
      <c r="G765" s="5">
        <v>7000</v>
      </c>
      <c r="H765" s="5">
        <v>7020</v>
      </c>
      <c r="I765" s="5">
        <v>2.78</v>
      </c>
      <c r="J765" s="5">
        <v>6800</v>
      </c>
      <c r="K765" s="5">
        <v>7170</v>
      </c>
    </row>
    <row r="766" spans="1:11" x14ac:dyDescent="0.3">
      <c r="A766" s="9" t="s">
        <v>1858</v>
      </c>
      <c r="B766" s="5" t="s">
        <v>1859</v>
      </c>
      <c r="C766" s="5">
        <v>62</v>
      </c>
      <c r="D766" s="5">
        <v>462990</v>
      </c>
      <c r="E766" s="5">
        <v>3768738600</v>
      </c>
      <c r="F766" s="5">
        <v>7910</v>
      </c>
      <c r="G766" s="5">
        <v>8140</v>
      </c>
      <c r="H766" s="5">
        <v>7950</v>
      </c>
      <c r="I766" s="5">
        <v>0.51</v>
      </c>
      <c r="J766" s="5">
        <v>8140</v>
      </c>
      <c r="K766" s="5">
        <v>8140</v>
      </c>
    </row>
    <row r="767" spans="1:11" x14ac:dyDescent="0.3">
      <c r="A767" s="9" t="s">
        <v>868</v>
      </c>
      <c r="B767" s="5" t="s">
        <v>869</v>
      </c>
      <c r="C767" s="5">
        <v>952</v>
      </c>
      <c r="D767" s="5">
        <v>16767491</v>
      </c>
      <c r="E767" s="5">
        <v>48352561111</v>
      </c>
      <c r="F767" s="5">
        <v>2779</v>
      </c>
      <c r="G767" s="5">
        <v>2917</v>
      </c>
      <c r="H767" s="5">
        <v>2884</v>
      </c>
      <c r="I767" s="5">
        <v>3.78</v>
      </c>
      <c r="J767" s="5">
        <v>2820</v>
      </c>
      <c r="K767" s="5">
        <v>2917</v>
      </c>
    </row>
    <row r="768" spans="1:11" x14ac:dyDescent="0.3">
      <c r="A768" s="9" t="s">
        <v>901</v>
      </c>
      <c r="B768" s="5" t="s">
        <v>902</v>
      </c>
      <c r="C768" s="5">
        <v>241</v>
      </c>
      <c r="D768" s="5">
        <v>830765</v>
      </c>
      <c r="E768" s="5">
        <v>13560956590</v>
      </c>
      <c r="F768" s="5">
        <v>15980</v>
      </c>
      <c r="G768" s="5">
        <v>16100</v>
      </c>
      <c r="H768" s="5">
        <v>16270</v>
      </c>
      <c r="I768" s="5">
        <v>1.81</v>
      </c>
      <c r="J768" s="5">
        <v>15610</v>
      </c>
      <c r="K768" s="5">
        <v>16770</v>
      </c>
    </row>
    <row r="769" spans="1:11" x14ac:dyDescent="0.3">
      <c r="A769" s="9" t="s">
        <v>418</v>
      </c>
      <c r="B769" s="5" t="s">
        <v>419</v>
      </c>
      <c r="C769" s="5">
        <v>390</v>
      </c>
      <c r="D769" s="5">
        <v>307248</v>
      </c>
      <c r="E769" s="5">
        <v>29283490140</v>
      </c>
      <c r="F769" s="5">
        <v>94980</v>
      </c>
      <c r="G769" s="5">
        <v>95800</v>
      </c>
      <c r="H769" s="5">
        <v>95310</v>
      </c>
      <c r="I769" s="5">
        <v>0.35</v>
      </c>
      <c r="J769" s="5">
        <v>93070</v>
      </c>
      <c r="K769" s="5">
        <v>97800</v>
      </c>
    </row>
    <row r="770" spans="1:11" x14ac:dyDescent="0.3">
      <c r="A770" s="9" t="s">
        <v>1201</v>
      </c>
      <c r="B770" s="5" t="s">
        <v>1202</v>
      </c>
      <c r="C770" s="5">
        <v>448</v>
      </c>
      <c r="D770" s="5">
        <v>3302736</v>
      </c>
      <c r="E770" s="5">
        <v>17771602630</v>
      </c>
      <c r="F770" s="5">
        <v>5390</v>
      </c>
      <c r="G770" s="5">
        <v>5430</v>
      </c>
      <c r="H770" s="5">
        <v>5380</v>
      </c>
      <c r="I770" s="5">
        <v>-0.19</v>
      </c>
      <c r="J770" s="5">
        <v>5270</v>
      </c>
      <c r="K770" s="5">
        <v>5570</v>
      </c>
    </row>
    <row r="771" spans="1:11" x14ac:dyDescent="0.3">
      <c r="A771" s="9" t="s">
        <v>1390</v>
      </c>
      <c r="B771" s="5" t="s">
        <v>1391</v>
      </c>
      <c r="C771" s="5">
        <v>990</v>
      </c>
      <c r="D771" s="5">
        <v>5812907</v>
      </c>
      <c r="E771" s="5">
        <v>39739422330</v>
      </c>
      <c r="F771" s="5">
        <v>6980</v>
      </c>
      <c r="G771" s="5">
        <v>7100</v>
      </c>
      <c r="H771" s="5">
        <v>6840</v>
      </c>
      <c r="I771" s="5">
        <v>-2.0099999999999998</v>
      </c>
      <c r="J771" s="5">
        <v>6740</v>
      </c>
      <c r="K771" s="5">
        <v>7100</v>
      </c>
    </row>
    <row r="772" spans="1:11" x14ac:dyDescent="0.3">
      <c r="A772" s="9" t="s">
        <v>780</v>
      </c>
      <c r="B772" s="5" t="s">
        <v>781</v>
      </c>
      <c r="C772" s="5">
        <v>671</v>
      </c>
      <c r="D772" s="5">
        <v>10441616</v>
      </c>
      <c r="E772" s="5">
        <v>27683599859</v>
      </c>
      <c r="F772" s="5">
        <v>2647</v>
      </c>
      <c r="G772" s="5">
        <v>2700</v>
      </c>
      <c r="H772" s="5">
        <v>2651</v>
      </c>
      <c r="I772" s="5">
        <v>0.15</v>
      </c>
      <c r="J772" s="5">
        <v>2600</v>
      </c>
      <c r="K772" s="5">
        <v>2740</v>
      </c>
    </row>
    <row r="773" spans="1:11" x14ac:dyDescent="0.3">
      <c r="A773" s="9" t="s">
        <v>318</v>
      </c>
      <c r="B773" s="5" t="s">
        <v>317</v>
      </c>
      <c r="C773" s="5">
        <v>339</v>
      </c>
      <c r="D773" s="5">
        <v>2288785</v>
      </c>
      <c r="E773" s="5">
        <v>18705409680</v>
      </c>
      <c r="F773" s="5">
        <v>8180</v>
      </c>
      <c r="G773" s="5">
        <v>8400</v>
      </c>
      <c r="H773" s="5">
        <v>8170</v>
      </c>
      <c r="I773" s="5">
        <v>-0.12</v>
      </c>
      <c r="J773" s="5">
        <v>8080</v>
      </c>
      <c r="K773" s="5">
        <v>8400</v>
      </c>
    </row>
    <row r="774" spans="1:11" x14ac:dyDescent="0.3">
      <c r="A774" s="9" t="s">
        <v>1115</v>
      </c>
      <c r="B774" s="5" t="s">
        <v>1116</v>
      </c>
      <c r="C774" s="5">
        <v>108</v>
      </c>
      <c r="D774" s="5">
        <v>455974</v>
      </c>
      <c r="E774" s="5">
        <v>11771113250</v>
      </c>
      <c r="F774" s="5">
        <v>25850</v>
      </c>
      <c r="G774" s="5">
        <v>26000</v>
      </c>
      <c r="H774" s="5">
        <v>25850</v>
      </c>
      <c r="I774" s="5">
        <v>0</v>
      </c>
      <c r="J774" s="5">
        <v>25150</v>
      </c>
      <c r="K774" s="5">
        <v>26300</v>
      </c>
    </row>
    <row r="775" spans="1:11" x14ac:dyDescent="0.3">
      <c r="A775" s="9" t="s">
        <v>710</v>
      </c>
      <c r="B775" s="5" t="s">
        <v>711</v>
      </c>
      <c r="C775" s="5">
        <v>297</v>
      </c>
      <c r="D775" s="5">
        <v>46993345</v>
      </c>
      <c r="E775" s="5">
        <v>516109381109</v>
      </c>
      <c r="F775" s="5">
        <v>10963</v>
      </c>
      <c r="G775" s="5">
        <v>10982</v>
      </c>
      <c r="H775" s="5">
        <v>10983</v>
      </c>
      <c r="I775" s="5">
        <v>0.18</v>
      </c>
      <c r="J775" s="5">
        <v>10982</v>
      </c>
      <c r="K775" s="5">
        <v>10984</v>
      </c>
    </row>
    <row r="776" spans="1:11" x14ac:dyDescent="0.3">
      <c r="A776" s="9" t="s">
        <v>1791</v>
      </c>
      <c r="B776" s="5" t="s">
        <v>711</v>
      </c>
      <c r="C776" s="5">
        <v>3</v>
      </c>
      <c r="D776" s="5">
        <v>50954306</v>
      </c>
      <c r="E776" s="5">
        <v>559274462656</v>
      </c>
      <c r="F776" s="5">
        <v>10963</v>
      </c>
      <c r="G776" s="5">
        <v>10976</v>
      </c>
      <c r="H776" s="5">
        <v>10976</v>
      </c>
      <c r="I776" s="5">
        <v>0.12</v>
      </c>
      <c r="J776" s="5">
        <v>10976</v>
      </c>
      <c r="K776" s="5">
        <v>10976</v>
      </c>
    </row>
    <row r="777" spans="1:11" x14ac:dyDescent="0.3">
      <c r="A777" s="9" t="s">
        <v>17</v>
      </c>
      <c r="B777" s="5" t="s">
        <v>16</v>
      </c>
      <c r="C777" s="5">
        <v>4590</v>
      </c>
      <c r="D777" s="5">
        <v>392187657</v>
      </c>
      <c r="E777" s="5">
        <v>5363200013988</v>
      </c>
      <c r="F777" s="5">
        <v>13645</v>
      </c>
      <c r="G777" s="5">
        <v>13676</v>
      </c>
      <c r="H777" s="5">
        <v>13675</v>
      </c>
      <c r="I777" s="5">
        <v>0.22</v>
      </c>
      <c r="J777" s="5">
        <v>13674</v>
      </c>
      <c r="K777" s="5">
        <v>13676</v>
      </c>
    </row>
    <row r="778" spans="1:11" x14ac:dyDescent="0.3">
      <c r="A778" s="9" t="s">
        <v>1548</v>
      </c>
      <c r="B778" s="5" t="s">
        <v>16</v>
      </c>
      <c r="C778" s="5">
        <v>6</v>
      </c>
      <c r="D778" s="5">
        <v>393500000</v>
      </c>
      <c r="E778" s="5">
        <v>393500000</v>
      </c>
      <c r="F778" s="5">
        <v>13645</v>
      </c>
      <c r="G778" s="5">
        <v>1</v>
      </c>
      <c r="H778" s="5">
        <v>1</v>
      </c>
      <c r="I778" s="5">
        <v>-99.99</v>
      </c>
      <c r="J778" s="5">
        <v>1</v>
      </c>
      <c r="K778" s="5">
        <v>1</v>
      </c>
    </row>
    <row r="779" spans="1:11" x14ac:dyDescent="0.3">
      <c r="A779" s="9" t="s">
        <v>1313</v>
      </c>
      <c r="B779" s="5" t="s">
        <v>16</v>
      </c>
      <c r="C779" s="5">
        <v>10</v>
      </c>
      <c r="D779" s="5">
        <v>259149241</v>
      </c>
      <c r="E779" s="5">
        <v>3543338551577</v>
      </c>
      <c r="F779" s="5">
        <v>13645</v>
      </c>
      <c r="G779" s="5">
        <v>13672</v>
      </c>
      <c r="H779" s="5">
        <v>13673</v>
      </c>
      <c r="I779" s="5">
        <v>0.21</v>
      </c>
      <c r="J779" s="5">
        <v>13672</v>
      </c>
      <c r="K779" s="5">
        <v>13675</v>
      </c>
    </row>
    <row r="780" spans="1:11" x14ac:dyDescent="0.3">
      <c r="A780" s="9" t="s">
        <v>60</v>
      </c>
      <c r="B780" s="5" t="s">
        <v>59</v>
      </c>
      <c r="C780" s="5">
        <v>492</v>
      </c>
      <c r="D780" s="5">
        <v>743511</v>
      </c>
      <c r="E780" s="5">
        <v>227564313670</v>
      </c>
      <c r="F780" s="5">
        <v>302790</v>
      </c>
      <c r="G780" s="5">
        <v>314980</v>
      </c>
      <c r="H780" s="5">
        <v>306070</v>
      </c>
      <c r="I780" s="5">
        <v>1.08</v>
      </c>
      <c r="J780" s="5">
        <v>300000</v>
      </c>
      <c r="K780" s="5">
        <v>314980</v>
      </c>
    </row>
    <row r="781" spans="1:11" x14ac:dyDescent="0.3">
      <c r="A781" s="9" t="s">
        <v>1646</v>
      </c>
      <c r="B781" s="5" t="s">
        <v>1647</v>
      </c>
      <c r="C781" s="5">
        <v>28</v>
      </c>
      <c r="D781" s="5">
        <v>877900</v>
      </c>
      <c r="E781" s="5">
        <v>1303681500</v>
      </c>
      <c r="F781" s="5">
        <v>1442</v>
      </c>
      <c r="G781" s="5">
        <v>1485</v>
      </c>
      <c r="H781" s="5">
        <v>1445</v>
      </c>
      <c r="I781" s="5">
        <v>0.21</v>
      </c>
      <c r="J781" s="5">
        <v>1485</v>
      </c>
      <c r="K781" s="5">
        <v>1485</v>
      </c>
    </row>
    <row r="782" spans="1:11" x14ac:dyDescent="0.3">
      <c r="A782" s="9" t="s">
        <v>39</v>
      </c>
      <c r="B782" s="5" t="s">
        <v>458</v>
      </c>
      <c r="C782" s="5">
        <v>1091</v>
      </c>
      <c r="D782" s="5">
        <v>9507635</v>
      </c>
      <c r="E782" s="5">
        <v>197423136905</v>
      </c>
      <c r="F782" s="5">
        <v>20778</v>
      </c>
      <c r="G782" s="5">
        <v>21050</v>
      </c>
      <c r="H782" s="5">
        <v>20765</v>
      </c>
      <c r="I782" s="5">
        <v>-0.06</v>
      </c>
      <c r="J782" s="5">
        <v>20310</v>
      </c>
      <c r="K782" s="5">
        <v>21199</v>
      </c>
    </row>
    <row r="783" spans="1:11" x14ac:dyDescent="0.3">
      <c r="A783" s="9" t="s">
        <v>1814</v>
      </c>
      <c r="B783" s="5" t="s">
        <v>299</v>
      </c>
      <c r="C783" s="5">
        <v>1</v>
      </c>
      <c r="D783" s="5">
        <v>79143000</v>
      </c>
      <c r="E783" s="5">
        <v>793883433000</v>
      </c>
      <c r="F783" s="5">
        <v>10154</v>
      </c>
      <c r="G783" s="5">
        <v>10031</v>
      </c>
      <c r="H783" s="5">
        <v>10031</v>
      </c>
      <c r="I783" s="5">
        <v>-1.21</v>
      </c>
      <c r="J783" s="5">
        <v>10031</v>
      </c>
      <c r="K783" s="5">
        <v>10031</v>
      </c>
    </row>
    <row r="784" spans="1:11" x14ac:dyDescent="0.3">
      <c r="A784" s="9" t="s">
        <v>507</v>
      </c>
      <c r="B784" s="5" t="s">
        <v>508</v>
      </c>
      <c r="C784" s="5">
        <v>231</v>
      </c>
      <c r="D784" s="5">
        <v>2639975</v>
      </c>
      <c r="E784" s="5">
        <v>44111934720</v>
      </c>
      <c r="F784" s="5">
        <v>16270</v>
      </c>
      <c r="G784" s="5">
        <v>16750</v>
      </c>
      <c r="H784" s="5">
        <v>16710</v>
      </c>
      <c r="I784" s="5">
        <v>2.7</v>
      </c>
      <c r="J784" s="5">
        <v>16510</v>
      </c>
      <c r="K784" s="5">
        <v>16750</v>
      </c>
    </row>
    <row r="785" spans="1:11" x14ac:dyDescent="0.3">
      <c r="A785" s="9" t="s">
        <v>465</v>
      </c>
      <c r="B785" s="5" t="s">
        <v>466</v>
      </c>
      <c r="C785" s="5">
        <v>210</v>
      </c>
      <c r="D785" s="5">
        <v>1195234</v>
      </c>
      <c r="E785" s="5">
        <v>18303273220</v>
      </c>
      <c r="F785" s="5">
        <v>15250</v>
      </c>
      <c r="G785" s="5">
        <v>15340</v>
      </c>
      <c r="H785" s="5">
        <v>15310</v>
      </c>
      <c r="I785" s="5">
        <v>0.39</v>
      </c>
      <c r="J785" s="5">
        <v>14920</v>
      </c>
      <c r="K785" s="5">
        <v>15500</v>
      </c>
    </row>
    <row r="786" spans="1:11" x14ac:dyDescent="0.3">
      <c r="A786" s="9" t="s">
        <v>430</v>
      </c>
      <c r="B786" s="5" t="s">
        <v>431</v>
      </c>
      <c r="C786" s="5">
        <v>6650</v>
      </c>
      <c r="D786" s="5">
        <v>28664978</v>
      </c>
      <c r="E786" s="5">
        <v>559506982170</v>
      </c>
      <c r="F786" s="5">
        <v>20100</v>
      </c>
      <c r="G786" s="5">
        <v>19800</v>
      </c>
      <c r="H786" s="5">
        <v>19520</v>
      </c>
      <c r="I786" s="5">
        <v>-2.89</v>
      </c>
      <c r="J786" s="5">
        <v>18990</v>
      </c>
      <c r="K786" s="5">
        <v>20190</v>
      </c>
    </row>
    <row r="787" spans="1:11" x14ac:dyDescent="0.3">
      <c r="A787" s="9" t="s">
        <v>301</v>
      </c>
      <c r="B787" s="5" t="s">
        <v>300</v>
      </c>
      <c r="C787" s="5">
        <v>955</v>
      </c>
      <c r="D787" s="5">
        <v>26412061</v>
      </c>
      <c r="E787" s="5">
        <v>382527587606</v>
      </c>
      <c r="F787" s="5">
        <v>14454</v>
      </c>
      <c r="G787" s="5">
        <v>14483</v>
      </c>
      <c r="H787" s="5">
        <v>14483</v>
      </c>
      <c r="I787" s="5">
        <v>0.2</v>
      </c>
      <c r="J787" s="5">
        <v>14482</v>
      </c>
      <c r="K787" s="5">
        <v>14484</v>
      </c>
    </row>
    <row r="788" spans="1:11" x14ac:dyDescent="0.3">
      <c r="A788" s="9" t="s">
        <v>1711</v>
      </c>
      <c r="B788" s="5" t="s">
        <v>300</v>
      </c>
      <c r="C788" s="5">
        <v>5</v>
      </c>
      <c r="D788" s="5">
        <v>800000</v>
      </c>
      <c r="E788" s="5">
        <v>800000</v>
      </c>
      <c r="F788" s="5">
        <v>14454</v>
      </c>
      <c r="G788" s="5">
        <v>1</v>
      </c>
      <c r="H788" s="5">
        <v>1</v>
      </c>
      <c r="I788" s="5">
        <v>-99.99</v>
      </c>
      <c r="J788" s="5">
        <v>1</v>
      </c>
      <c r="K788" s="5">
        <v>1</v>
      </c>
    </row>
    <row r="789" spans="1:11" x14ac:dyDescent="0.3">
      <c r="A789" s="9" t="s">
        <v>825</v>
      </c>
      <c r="B789" s="5" t="s">
        <v>826</v>
      </c>
      <c r="C789" s="5">
        <v>1327</v>
      </c>
      <c r="D789" s="5">
        <v>19593350</v>
      </c>
      <c r="E789" s="5">
        <v>229881286840</v>
      </c>
      <c r="F789" s="5">
        <v>11740</v>
      </c>
      <c r="G789" s="5">
        <v>12000</v>
      </c>
      <c r="H789" s="5">
        <v>11730</v>
      </c>
      <c r="I789" s="5">
        <v>-0.09</v>
      </c>
      <c r="J789" s="5">
        <v>11430</v>
      </c>
      <c r="K789" s="5">
        <v>12090</v>
      </c>
    </row>
    <row r="790" spans="1:11" x14ac:dyDescent="0.3">
      <c r="A790" s="9" t="s">
        <v>933</v>
      </c>
      <c r="B790" s="5" t="s">
        <v>934</v>
      </c>
      <c r="C790" s="5">
        <v>32</v>
      </c>
      <c r="D790" s="5">
        <v>83623</v>
      </c>
      <c r="E790" s="5">
        <v>2661602800</v>
      </c>
      <c r="F790" s="5">
        <v>31200</v>
      </c>
      <c r="G790" s="5">
        <v>32100</v>
      </c>
      <c r="H790" s="5">
        <v>31300</v>
      </c>
      <c r="I790" s="5">
        <v>0.32</v>
      </c>
      <c r="J790" s="5">
        <v>31200</v>
      </c>
      <c r="K790" s="5">
        <v>32100</v>
      </c>
    </row>
    <row r="791" spans="1:11" x14ac:dyDescent="0.3">
      <c r="A791" s="9" t="s">
        <v>991</v>
      </c>
      <c r="B791" s="5" t="s">
        <v>992</v>
      </c>
      <c r="C791" s="5">
        <v>789</v>
      </c>
      <c r="D791" s="5">
        <v>3394132</v>
      </c>
      <c r="E791" s="5">
        <v>29525745360</v>
      </c>
      <c r="F791" s="5">
        <v>8730</v>
      </c>
      <c r="G791" s="5">
        <v>8880</v>
      </c>
      <c r="H791" s="5">
        <v>8700</v>
      </c>
      <c r="I791" s="5">
        <v>-0.34</v>
      </c>
      <c r="J791" s="5">
        <v>8500</v>
      </c>
      <c r="K791" s="5">
        <v>9050</v>
      </c>
    </row>
    <row r="792" spans="1:11" x14ac:dyDescent="0.3">
      <c r="A792" s="9" t="s">
        <v>1674</v>
      </c>
      <c r="B792" s="5" t="s">
        <v>1675</v>
      </c>
      <c r="C792" s="5">
        <v>47</v>
      </c>
      <c r="D792" s="5">
        <v>905328</v>
      </c>
      <c r="E792" s="5">
        <v>9985767840</v>
      </c>
      <c r="F792" s="5">
        <v>10710</v>
      </c>
      <c r="G792" s="5">
        <v>11030</v>
      </c>
      <c r="H792" s="5">
        <v>10870</v>
      </c>
      <c r="I792" s="5">
        <v>1.49</v>
      </c>
      <c r="J792" s="5">
        <v>11030</v>
      </c>
      <c r="K792" s="5">
        <v>11030</v>
      </c>
    </row>
    <row r="793" spans="1:11" x14ac:dyDescent="0.3">
      <c r="A793" s="9" t="s">
        <v>422</v>
      </c>
      <c r="B793" s="5" t="s">
        <v>423</v>
      </c>
      <c r="C793" s="5">
        <v>1169</v>
      </c>
      <c r="D793" s="5">
        <v>2593641</v>
      </c>
      <c r="E793" s="5">
        <v>78475481110</v>
      </c>
      <c r="F793" s="5">
        <v>30460</v>
      </c>
      <c r="G793" s="5">
        <v>30820</v>
      </c>
      <c r="H793" s="5">
        <v>30260</v>
      </c>
      <c r="I793" s="5">
        <v>-0.66</v>
      </c>
      <c r="J793" s="5">
        <v>29910</v>
      </c>
      <c r="K793" s="5">
        <v>30820</v>
      </c>
    </row>
    <row r="794" spans="1:11" x14ac:dyDescent="0.3">
      <c r="A794" s="9" t="s">
        <v>870</v>
      </c>
      <c r="B794" s="5" t="s">
        <v>871</v>
      </c>
      <c r="C794" s="5">
        <v>724</v>
      </c>
      <c r="D794" s="5">
        <v>4810773</v>
      </c>
      <c r="E794" s="5">
        <v>46025026840</v>
      </c>
      <c r="F794" s="5">
        <v>9450</v>
      </c>
      <c r="G794" s="5">
        <v>9470</v>
      </c>
      <c r="H794" s="5">
        <v>9570</v>
      </c>
      <c r="I794" s="5">
        <v>1.27</v>
      </c>
      <c r="J794" s="5">
        <v>9300</v>
      </c>
      <c r="K794" s="5">
        <v>9820</v>
      </c>
    </row>
    <row r="795" spans="1:11" x14ac:dyDescent="0.3">
      <c r="A795" s="9" t="s">
        <v>262</v>
      </c>
      <c r="B795" s="5" t="s">
        <v>261</v>
      </c>
      <c r="C795" s="5">
        <v>150</v>
      </c>
      <c r="D795" s="5">
        <v>1077603</v>
      </c>
      <c r="E795" s="5">
        <v>11961356910</v>
      </c>
      <c r="F795" s="5">
        <v>10830</v>
      </c>
      <c r="G795" s="5">
        <v>11150</v>
      </c>
      <c r="H795" s="5">
        <v>11100</v>
      </c>
      <c r="I795" s="5">
        <v>2.4900000000000002</v>
      </c>
      <c r="J795" s="5">
        <v>10860</v>
      </c>
      <c r="K795" s="5">
        <v>11300</v>
      </c>
    </row>
    <row r="796" spans="1:11" x14ac:dyDescent="0.3">
      <c r="A796" s="9" t="s">
        <v>461</v>
      </c>
      <c r="B796" s="5" t="s">
        <v>462</v>
      </c>
      <c r="C796" s="5">
        <v>1468</v>
      </c>
      <c r="D796" s="5">
        <v>24593374</v>
      </c>
      <c r="E796" s="5">
        <v>286882309860</v>
      </c>
      <c r="F796" s="5">
        <v>11140</v>
      </c>
      <c r="G796" s="5">
        <v>11400</v>
      </c>
      <c r="H796" s="5">
        <v>11670</v>
      </c>
      <c r="I796" s="5">
        <v>4.76</v>
      </c>
      <c r="J796" s="5">
        <v>11160</v>
      </c>
      <c r="K796" s="5">
        <v>11690</v>
      </c>
    </row>
    <row r="797" spans="1:11" x14ac:dyDescent="0.3">
      <c r="A797" s="9" t="s">
        <v>1185</v>
      </c>
      <c r="B797" s="5" t="s">
        <v>1186</v>
      </c>
      <c r="C797" s="5">
        <v>1761</v>
      </c>
      <c r="D797" s="5">
        <v>16119200</v>
      </c>
      <c r="E797" s="5">
        <v>151280202160</v>
      </c>
      <c r="F797" s="5">
        <v>9110</v>
      </c>
      <c r="G797" s="5">
        <v>9110</v>
      </c>
      <c r="H797" s="5">
        <v>9390</v>
      </c>
      <c r="I797" s="5">
        <v>3.07</v>
      </c>
      <c r="J797" s="5">
        <v>9090</v>
      </c>
      <c r="K797" s="5">
        <v>9660</v>
      </c>
    </row>
    <row r="798" spans="1:11" x14ac:dyDescent="0.3">
      <c r="A798" s="9" t="s">
        <v>1338</v>
      </c>
      <c r="B798" s="5" t="s">
        <v>1339</v>
      </c>
      <c r="C798" s="5">
        <v>3173</v>
      </c>
      <c r="D798" s="5">
        <v>19974250</v>
      </c>
      <c r="E798" s="5">
        <v>197483626160</v>
      </c>
      <c r="F798" s="5">
        <v>9690</v>
      </c>
      <c r="G798" s="5">
        <v>10200</v>
      </c>
      <c r="H798" s="5">
        <v>9890</v>
      </c>
      <c r="I798" s="5">
        <v>2.06</v>
      </c>
      <c r="J798" s="5">
        <v>9730</v>
      </c>
      <c r="K798" s="5">
        <v>10200</v>
      </c>
    </row>
    <row r="799" spans="1:11" x14ac:dyDescent="0.3">
      <c r="A799" s="9" t="s">
        <v>786</v>
      </c>
      <c r="B799" s="5" t="s">
        <v>787</v>
      </c>
      <c r="C799" s="5">
        <v>489</v>
      </c>
      <c r="D799" s="5">
        <v>5527039</v>
      </c>
      <c r="E799" s="5">
        <v>42163865580</v>
      </c>
      <c r="F799" s="5">
        <v>7450</v>
      </c>
      <c r="G799" s="5">
        <v>7490</v>
      </c>
      <c r="H799" s="5">
        <v>7630</v>
      </c>
      <c r="I799" s="5">
        <v>2.42</v>
      </c>
      <c r="J799" s="5">
        <v>7270</v>
      </c>
      <c r="K799" s="5">
        <v>7810</v>
      </c>
    </row>
    <row r="800" spans="1:11" x14ac:dyDescent="0.3">
      <c r="A800" s="9" t="s">
        <v>298</v>
      </c>
      <c r="B800" s="5" t="s">
        <v>297</v>
      </c>
      <c r="C800" s="5">
        <v>411</v>
      </c>
      <c r="D800" s="5">
        <v>8776266</v>
      </c>
      <c r="E800" s="5">
        <v>145330349930</v>
      </c>
      <c r="F800" s="5">
        <v>15780</v>
      </c>
      <c r="G800" s="5">
        <v>16560</v>
      </c>
      <c r="H800" s="5">
        <v>16560</v>
      </c>
      <c r="I800" s="5">
        <v>4.9400000000000004</v>
      </c>
      <c r="J800" s="5">
        <v>16130</v>
      </c>
      <c r="K800" s="5">
        <v>16560</v>
      </c>
    </row>
    <row r="801" spans="1:11" x14ac:dyDescent="0.3">
      <c r="A801" s="9" t="s">
        <v>884</v>
      </c>
      <c r="B801" s="5" t="s">
        <v>885</v>
      </c>
      <c r="C801" s="5">
        <v>1991</v>
      </c>
      <c r="D801" s="5">
        <v>1879490</v>
      </c>
      <c r="E801" s="5">
        <v>106675385970</v>
      </c>
      <c r="F801" s="5">
        <v>55310</v>
      </c>
      <c r="G801" s="5">
        <v>57460</v>
      </c>
      <c r="H801" s="5">
        <v>56760</v>
      </c>
      <c r="I801" s="5">
        <v>2.62</v>
      </c>
      <c r="J801" s="5">
        <v>55510</v>
      </c>
      <c r="K801" s="5">
        <v>57940</v>
      </c>
    </row>
    <row r="802" spans="1:11" x14ac:dyDescent="0.3">
      <c r="A802" s="9" t="s">
        <v>673</v>
      </c>
      <c r="B802" s="5" t="s">
        <v>674</v>
      </c>
      <c r="C802" s="5">
        <v>1695</v>
      </c>
      <c r="D802" s="5">
        <v>56458932</v>
      </c>
      <c r="E802" s="5">
        <v>86823376184</v>
      </c>
      <c r="F802" s="5">
        <v>1531</v>
      </c>
      <c r="G802" s="5">
        <v>1560</v>
      </c>
      <c r="H802" s="5">
        <v>1538</v>
      </c>
      <c r="I802" s="5">
        <v>0.46</v>
      </c>
      <c r="J802" s="5">
        <v>1500</v>
      </c>
      <c r="K802" s="5">
        <v>1575</v>
      </c>
    </row>
    <row r="803" spans="1:11" x14ac:dyDescent="0.3">
      <c r="A803" s="9" t="s">
        <v>728</v>
      </c>
      <c r="B803" s="5" t="s">
        <v>729</v>
      </c>
      <c r="C803" s="5">
        <v>1308</v>
      </c>
      <c r="D803" s="5">
        <v>1413516</v>
      </c>
      <c r="E803" s="5">
        <v>102745626000</v>
      </c>
      <c r="F803" s="5">
        <v>70230</v>
      </c>
      <c r="G803" s="5">
        <v>75100</v>
      </c>
      <c r="H803" s="5">
        <v>72690</v>
      </c>
      <c r="I803" s="5">
        <v>3.5</v>
      </c>
      <c r="J803" s="5">
        <v>70980</v>
      </c>
      <c r="K803" s="5">
        <v>75100</v>
      </c>
    </row>
    <row r="804" spans="1:11" x14ac:dyDescent="0.3">
      <c r="A804" s="9" t="s">
        <v>122</v>
      </c>
      <c r="B804" s="5" t="s">
        <v>615</v>
      </c>
      <c r="C804" s="5">
        <v>10927</v>
      </c>
      <c r="D804" s="5">
        <v>450309958</v>
      </c>
      <c r="E804" s="5">
        <v>558913545219</v>
      </c>
      <c r="F804" s="5">
        <v>1263</v>
      </c>
      <c r="G804" s="5">
        <v>1270</v>
      </c>
      <c r="H804" s="5">
        <v>1241</v>
      </c>
      <c r="I804" s="5">
        <v>-1.74</v>
      </c>
      <c r="J804" s="5">
        <v>1210</v>
      </c>
      <c r="K804" s="5">
        <v>1278</v>
      </c>
    </row>
    <row r="805" spans="1:11" x14ac:dyDescent="0.3">
      <c r="A805" s="9" t="s">
        <v>467</v>
      </c>
      <c r="B805" s="5" t="s">
        <v>468</v>
      </c>
      <c r="C805" s="5">
        <v>1279</v>
      </c>
      <c r="D805" s="5">
        <v>4570406</v>
      </c>
      <c r="E805" s="5">
        <v>151992895240</v>
      </c>
      <c r="F805" s="5">
        <v>32650</v>
      </c>
      <c r="G805" s="5">
        <v>33210</v>
      </c>
      <c r="H805" s="5">
        <v>33260</v>
      </c>
      <c r="I805" s="5">
        <v>1.87</v>
      </c>
      <c r="J805" s="5">
        <v>32310</v>
      </c>
      <c r="K805" s="5">
        <v>34330</v>
      </c>
    </row>
    <row r="806" spans="1:11" x14ac:dyDescent="0.3">
      <c r="A806" s="9" t="s">
        <v>237</v>
      </c>
      <c r="B806" s="5" t="s">
        <v>236</v>
      </c>
      <c r="C806" s="5">
        <v>2180</v>
      </c>
      <c r="D806" s="5">
        <v>4238999</v>
      </c>
      <c r="E806" s="5">
        <v>121173371900</v>
      </c>
      <c r="F806" s="5">
        <v>28750</v>
      </c>
      <c r="G806" s="5">
        <v>29450</v>
      </c>
      <c r="H806" s="5">
        <v>28600</v>
      </c>
      <c r="I806" s="5">
        <v>-0.52</v>
      </c>
      <c r="J806" s="5">
        <v>27400</v>
      </c>
      <c r="K806" s="5">
        <v>29500</v>
      </c>
    </row>
    <row r="807" spans="1:11" x14ac:dyDescent="0.3">
      <c r="A807" s="9" t="s">
        <v>880</v>
      </c>
      <c r="B807" s="5" t="s">
        <v>881</v>
      </c>
      <c r="C807" s="5">
        <v>800</v>
      </c>
      <c r="D807" s="5">
        <v>2515986</v>
      </c>
      <c r="E807" s="5">
        <v>75926303460</v>
      </c>
      <c r="F807" s="5">
        <v>29240</v>
      </c>
      <c r="G807" s="5">
        <v>30040</v>
      </c>
      <c r="H807" s="5">
        <v>30180</v>
      </c>
      <c r="I807" s="5">
        <v>3.21</v>
      </c>
      <c r="J807" s="5">
        <v>29250</v>
      </c>
      <c r="K807" s="5">
        <v>30590</v>
      </c>
    </row>
    <row r="808" spans="1:11" x14ac:dyDescent="0.3">
      <c r="A808" s="9" t="s">
        <v>416</v>
      </c>
      <c r="B808" s="5" t="s">
        <v>417</v>
      </c>
      <c r="C808" s="5">
        <v>189</v>
      </c>
      <c r="D808" s="5">
        <v>376652</v>
      </c>
      <c r="E808" s="5">
        <v>24238677350</v>
      </c>
      <c r="F808" s="5">
        <v>64510</v>
      </c>
      <c r="G808" s="5">
        <v>67750</v>
      </c>
      <c r="H808" s="5">
        <v>64350</v>
      </c>
      <c r="I808" s="5">
        <v>-0.25</v>
      </c>
      <c r="J808" s="5">
        <v>63200</v>
      </c>
      <c r="K808" s="5">
        <v>67750</v>
      </c>
    </row>
    <row r="809" spans="1:11" x14ac:dyDescent="0.3">
      <c r="A809" s="9" t="s">
        <v>1052</v>
      </c>
      <c r="B809" s="5" t="s">
        <v>1053</v>
      </c>
      <c r="C809" s="5">
        <v>233</v>
      </c>
      <c r="D809" s="5">
        <v>6512366</v>
      </c>
      <c r="E809" s="5">
        <v>49754476240</v>
      </c>
      <c r="F809" s="5">
        <v>7280</v>
      </c>
      <c r="G809" s="5">
        <v>7640</v>
      </c>
      <c r="H809" s="5">
        <v>7640</v>
      </c>
      <c r="I809" s="5">
        <v>4.95</v>
      </c>
      <c r="J809" s="5">
        <v>7640</v>
      </c>
      <c r="K809" s="5">
        <v>7640</v>
      </c>
    </row>
    <row r="810" spans="1:11" x14ac:dyDescent="0.3">
      <c r="A810" s="9" t="s">
        <v>228</v>
      </c>
      <c r="B810" s="5" t="s">
        <v>227</v>
      </c>
      <c r="C810" s="5">
        <v>677</v>
      </c>
      <c r="D810" s="5">
        <v>5155730</v>
      </c>
      <c r="E810" s="5">
        <v>66335500800</v>
      </c>
      <c r="F810" s="5">
        <v>12320</v>
      </c>
      <c r="G810" s="5">
        <v>12490</v>
      </c>
      <c r="H810" s="5">
        <v>12870</v>
      </c>
      <c r="I810" s="5">
        <v>4.46</v>
      </c>
      <c r="J810" s="5">
        <v>12390</v>
      </c>
      <c r="K810" s="5">
        <v>12930</v>
      </c>
    </row>
    <row r="811" spans="1:11" x14ac:dyDescent="0.3">
      <c r="A811" s="9" t="s">
        <v>1397</v>
      </c>
      <c r="B811" s="5" t="s">
        <v>1398</v>
      </c>
      <c r="C811" s="5">
        <v>611</v>
      </c>
      <c r="D811" s="5">
        <v>5696402</v>
      </c>
      <c r="E811" s="5">
        <v>106472437470</v>
      </c>
      <c r="F811" s="5">
        <v>18710</v>
      </c>
      <c r="G811" s="5">
        <v>18920</v>
      </c>
      <c r="H811" s="5">
        <v>18690</v>
      </c>
      <c r="I811" s="5">
        <v>-0.11</v>
      </c>
      <c r="J811" s="5">
        <v>18000</v>
      </c>
      <c r="K811" s="5">
        <v>19210</v>
      </c>
    </row>
    <row r="812" spans="1:11" x14ac:dyDescent="0.3">
      <c r="A812" s="9" t="s">
        <v>1550</v>
      </c>
      <c r="B812" s="5" t="s">
        <v>1551</v>
      </c>
      <c r="C812" s="5">
        <v>2713</v>
      </c>
      <c r="D812" s="5">
        <v>46342879</v>
      </c>
      <c r="E812" s="5">
        <v>292452244120</v>
      </c>
      <c r="F812" s="5">
        <v>6000</v>
      </c>
      <c r="G812" s="5">
        <v>6180</v>
      </c>
      <c r="H812" s="5">
        <v>6310</v>
      </c>
      <c r="I812" s="5">
        <v>5.17</v>
      </c>
      <c r="J812" s="5">
        <v>5990</v>
      </c>
      <c r="K812" s="5">
        <v>6420</v>
      </c>
    </row>
    <row r="813" spans="1:11" x14ac:dyDescent="0.3">
      <c r="A813" s="9" t="s">
        <v>258</v>
      </c>
      <c r="B813" s="5" t="s">
        <v>257</v>
      </c>
      <c r="C813" s="5">
        <v>438</v>
      </c>
      <c r="D813" s="5">
        <v>3354022</v>
      </c>
      <c r="E813" s="5">
        <v>34000421230</v>
      </c>
      <c r="F813" s="5">
        <v>9680</v>
      </c>
      <c r="G813" s="5">
        <v>10160</v>
      </c>
      <c r="H813" s="5">
        <v>10140</v>
      </c>
      <c r="I813" s="5">
        <v>4.75</v>
      </c>
      <c r="J813" s="5">
        <v>9680</v>
      </c>
      <c r="K813" s="5">
        <v>10160</v>
      </c>
    </row>
    <row r="814" spans="1:11" x14ac:dyDescent="0.3">
      <c r="A814" s="9" t="s">
        <v>573</v>
      </c>
      <c r="B814" s="5" t="s">
        <v>574</v>
      </c>
      <c r="C814" s="5">
        <v>505</v>
      </c>
      <c r="D814" s="5">
        <v>4376181</v>
      </c>
      <c r="E814" s="5">
        <v>73974690370</v>
      </c>
      <c r="F814" s="5">
        <v>17380</v>
      </c>
      <c r="G814" s="5">
        <v>17680</v>
      </c>
      <c r="H814" s="5">
        <v>16900</v>
      </c>
      <c r="I814" s="5">
        <v>-2.76</v>
      </c>
      <c r="J814" s="5">
        <v>16860</v>
      </c>
      <c r="K814" s="5">
        <v>17690</v>
      </c>
    </row>
    <row r="815" spans="1:11" x14ac:dyDescent="0.3">
      <c r="A815" s="9" t="s">
        <v>1255</v>
      </c>
      <c r="B815" s="5" t="s">
        <v>1256</v>
      </c>
      <c r="C815" s="5">
        <v>418</v>
      </c>
      <c r="D815" s="5">
        <v>2133529</v>
      </c>
      <c r="E815" s="5">
        <v>50654728650</v>
      </c>
      <c r="F815" s="5">
        <v>23700</v>
      </c>
      <c r="G815" s="5">
        <v>24400</v>
      </c>
      <c r="H815" s="5">
        <v>23750</v>
      </c>
      <c r="I815" s="5">
        <v>0.21</v>
      </c>
      <c r="J815" s="5">
        <v>23150</v>
      </c>
      <c r="K815" s="5">
        <v>24400</v>
      </c>
    </row>
    <row r="816" spans="1:11" x14ac:dyDescent="0.3">
      <c r="A816" s="9" t="s">
        <v>221</v>
      </c>
      <c r="B816" s="5" t="s">
        <v>220</v>
      </c>
      <c r="C816" s="5">
        <v>285</v>
      </c>
      <c r="D816" s="5">
        <v>1107177</v>
      </c>
      <c r="E816" s="5">
        <v>65444032950</v>
      </c>
      <c r="F816" s="5">
        <v>56550</v>
      </c>
      <c r="G816" s="5">
        <v>57000</v>
      </c>
      <c r="H816" s="5">
        <v>57850</v>
      </c>
      <c r="I816" s="5">
        <v>2.2999999999999998</v>
      </c>
      <c r="J816" s="5">
        <v>57000</v>
      </c>
      <c r="K816" s="5">
        <v>59350</v>
      </c>
    </row>
    <row r="817" spans="1:11" x14ac:dyDescent="0.3">
      <c r="A817" s="9" t="s">
        <v>1677</v>
      </c>
      <c r="B817" s="5" t="s">
        <v>220</v>
      </c>
      <c r="C817" s="5">
        <v>2</v>
      </c>
      <c r="D817" s="5">
        <v>1980000</v>
      </c>
      <c r="E817" s="5">
        <v>114840000000</v>
      </c>
      <c r="F817" s="5">
        <v>56550</v>
      </c>
      <c r="G817" s="5">
        <v>58000</v>
      </c>
      <c r="H817" s="5">
        <v>58000</v>
      </c>
      <c r="I817" s="5">
        <v>2.56</v>
      </c>
      <c r="J817" s="5">
        <v>58000</v>
      </c>
      <c r="K817" s="5">
        <v>58000</v>
      </c>
    </row>
    <row r="818" spans="1:11" x14ac:dyDescent="0.3">
      <c r="A818" s="9" t="s">
        <v>1386</v>
      </c>
      <c r="B818" s="5" t="s">
        <v>1387</v>
      </c>
      <c r="C818" s="5">
        <v>1504</v>
      </c>
      <c r="D818" s="5">
        <v>1261293</v>
      </c>
      <c r="E818" s="5">
        <v>72164243550</v>
      </c>
      <c r="F818" s="5">
        <v>56800</v>
      </c>
      <c r="G818" s="5">
        <v>56900</v>
      </c>
      <c r="H818" s="5">
        <v>57200</v>
      </c>
      <c r="I818" s="5">
        <v>0.7</v>
      </c>
      <c r="J818" s="5">
        <v>56100</v>
      </c>
      <c r="K818" s="5">
        <v>58400</v>
      </c>
    </row>
    <row r="819" spans="1:11" x14ac:dyDescent="0.3">
      <c r="A819" s="9" t="s">
        <v>655</v>
      </c>
      <c r="B819" s="5" t="s">
        <v>656</v>
      </c>
      <c r="C819" s="5">
        <v>212</v>
      </c>
      <c r="D819" s="5">
        <v>572101</v>
      </c>
      <c r="E819" s="5">
        <v>23457282920</v>
      </c>
      <c r="F819" s="5">
        <v>39990</v>
      </c>
      <c r="G819" s="5">
        <v>40100</v>
      </c>
      <c r="H819" s="5">
        <v>41000</v>
      </c>
      <c r="I819" s="5">
        <v>2.5299999999999998</v>
      </c>
      <c r="J819" s="5">
        <v>39990</v>
      </c>
      <c r="K819" s="5">
        <v>41900</v>
      </c>
    </row>
    <row r="820" spans="1:11" x14ac:dyDescent="0.3">
      <c r="A820" s="9" t="s">
        <v>1464</v>
      </c>
      <c r="B820" s="5" t="s">
        <v>1465</v>
      </c>
      <c r="C820" s="5">
        <v>1307</v>
      </c>
      <c r="D820" s="5">
        <v>21147713</v>
      </c>
      <c r="E820" s="5">
        <v>174821340800</v>
      </c>
      <c r="F820" s="5">
        <v>7810</v>
      </c>
      <c r="G820" s="5">
        <v>8230</v>
      </c>
      <c r="H820" s="5">
        <v>8270</v>
      </c>
      <c r="I820" s="5">
        <v>5.89</v>
      </c>
      <c r="J820" s="5">
        <v>7850</v>
      </c>
      <c r="K820" s="5">
        <v>8350</v>
      </c>
    </row>
    <row r="821" spans="1:11" x14ac:dyDescent="0.3">
      <c r="A821" s="9" t="s">
        <v>1144</v>
      </c>
      <c r="B821" s="5" t="s">
        <v>1145</v>
      </c>
      <c r="C821" s="5">
        <v>1024</v>
      </c>
      <c r="D821" s="5">
        <v>5422387</v>
      </c>
      <c r="E821" s="5">
        <v>43803779950</v>
      </c>
      <c r="F821" s="5">
        <v>8120</v>
      </c>
      <c r="G821" s="5">
        <v>8050</v>
      </c>
      <c r="H821" s="5">
        <v>8080</v>
      </c>
      <c r="I821" s="5">
        <v>-0.49</v>
      </c>
      <c r="J821" s="5">
        <v>7900</v>
      </c>
      <c r="K821" s="5">
        <v>8380</v>
      </c>
    </row>
    <row r="822" spans="1:11" x14ac:dyDescent="0.3">
      <c r="A822" s="9" t="s">
        <v>193</v>
      </c>
      <c r="B822" s="5" t="s">
        <v>192</v>
      </c>
      <c r="C822" s="5">
        <v>5143</v>
      </c>
      <c r="D822" s="5">
        <v>396035142</v>
      </c>
      <c r="E822" s="5">
        <v>3999845437214</v>
      </c>
      <c r="F822" s="5">
        <v>10076</v>
      </c>
      <c r="G822" s="5">
        <v>10100</v>
      </c>
      <c r="H822" s="5">
        <v>10100</v>
      </c>
      <c r="I822" s="5">
        <v>0.24</v>
      </c>
      <c r="J822" s="5">
        <v>10098</v>
      </c>
      <c r="K822" s="5">
        <v>10101</v>
      </c>
    </row>
    <row r="823" spans="1:11" x14ac:dyDescent="0.3">
      <c r="A823" s="9" t="s">
        <v>1779</v>
      </c>
      <c r="B823" s="5" t="s">
        <v>192</v>
      </c>
      <c r="C823" s="5">
        <v>11</v>
      </c>
      <c r="D823" s="5">
        <v>889500000</v>
      </c>
      <c r="E823" s="5">
        <v>889500000</v>
      </c>
      <c r="F823" s="5">
        <v>10076</v>
      </c>
      <c r="G823" s="5">
        <v>1</v>
      </c>
      <c r="H823" s="5">
        <v>1</v>
      </c>
      <c r="I823" s="5">
        <v>-99.99</v>
      </c>
      <c r="J823" s="5">
        <v>1</v>
      </c>
      <c r="K823" s="5">
        <v>1</v>
      </c>
    </row>
    <row r="824" spans="1:11" x14ac:dyDescent="0.3">
      <c r="A824" s="9" t="s">
        <v>1873</v>
      </c>
      <c r="B824" s="5" t="s">
        <v>192</v>
      </c>
      <c r="C824" s="5">
        <v>2</v>
      </c>
      <c r="D824" s="5">
        <v>623842000</v>
      </c>
      <c r="E824" s="5">
        <v>6297773490000</v>
      </c>
      <c r="F824" s="5">
        <v>10076</v>
      </c>
      <c r="G824" s="5">
        <v>10098</v>
      </c>
      <c r="H824" s="5">
        <v>10095</v>
      </c>
      <c r="I824" s="5">
        <v>0.19</v>
      </c>
      <c r="J824" s="5">
        <v>10095</v>
      </c>
      <c r="K824" s="5">
        <v>10098</v>
      </c>
    </row>
    <row r="825" spans="1:11" x14ac:dyDescent="0.3">
      <c r="A825" s="9" t="s">
        <v>1175</v>
      </c>
      <c r="B825" s="5" t="s">
        <v>1176</v>
      </c>
      <c r="C825" s="5">
        <v>314</v>
      </c>
      <c r="D825" s="5">
        <v>9467379</v>
      </c>
      <c r="E825" s="5">
        <v>84720810360</v>
      </c>
      <c r="F825" s="5">
        <v>8690</v>
      </c>
      <c r="G825" s="5">
        <v>8900</v>
      </c>
      <c r="H825" s="5">
        <v>8950</v>
      </c>
      <c r="I825" s="5">
        <v>2.99</v>
      </c>
      <c r="J825" s="5">
        <v>8850</v>
      </c>
      <c r="K825" s="5">
        <v>8950</v>
      </c>
    </row>
    <row r="826" spans="1:11" x14ac:dyDescent="0.3">
      <c r="A826" s="9" t="s">
        <v>1278</v>
      </c>
      <c r="B826" s="5" t="s">
        <v>1279</v>
      </c>
      <c r="C826" s="5">
        <v>443</v>
      </c>
      <c r="D826" s="5">
        <v>2294876</v>
      </c>
      <c r="E826" s="5">
        <v>49212401400</v>
      </c>
      <c r="F826" s="5">
        <v>21240</v>
      </c>
      <c r="G826" s="5">
        <v>21880</v>
      </c>
      <c r="H826" s="5">
        <v>21330</v>
      </c>
      <c r="I826" s="5">
        <v>0.42</v>
      </c>
      <c r="J826" s="5">
        <v>21000</v>
      </c>
      <c r="K826" s="5">
        <v>22080</v>
      </c>
    </row>
    <row r="827" spans="1:11" x14ac:dyDescent="0.3">
      <c r="A827" s="9" t="s">
        <v>706</v>
      </c>
      <c r="B827" s="5" t="s">
        <v>707</v>
      </c>
      <c r="C827" s="5">
        <v>351</v>
      </c>
      <c r="D827" s="5">
        <v>699390</v>
      </c>
      <c r="E827" s="5">
        <v>33746499350</v>
      </c>
      <c r="F827" s="5">
        <v>49100</v>
      </c>
      <c r="G827" s="5">
        <v>49700</v>
      </c>
      <c r="H827" s="5">
        <v>48250</v>
      </c>
      <c r="I827" s="5">
        <v>-1.73</v>
      </c>
      <c r="J827" s="5">
        <v>48150</v>
      </c>
      <c r="K827" s="5">
        <v>49700</v>
      </c>
    </row>
    <row r="828" spans="1:11" x14ac:dyDescent="0.3">
      <c r="A828" s="9" t="s">
        <v>1297</v>
      </c>
      <c r="B828" s="5" t="s">
        <v>1298</v>
      </c>
      <c r="C828" s="5">
        <v>2148</v>
      </c>
      <c r="D828" s="5">
        <v>19951030</v>
      </c>
      <c r="E828" s="5">
        <v>517958130062</v>
      </c>
      <c r="F828" s="5">
        <v>25349</v>
      </c>
      <c r="G828" s="5">
        <v>26104</v>
      </c>
      <c r="H828" s="5">
        <v>25961</v>
      </c>
      <c r="I828" s="5">
        <v>2.41</v>
      </c>
      <c r="J828" s="5">
        <v>25480</v>
      </c>
      <c r="K828" s="5">
        <v>26289</v>
      </c>
    </row>
    <row r="829" spans="1:11" x14ac:dyDescent="0.3">
      <c r="A829" s="9" t="s">
        <v>1466</v>
      </c>
      <c r="B829" s="5" t="s">
        <v>1467</v>
      </c>
      <c r="C829" s="5">
        <v>616</v>
      </c>
      <c r="D829" s="5">
        <v>10186342</v>
      </c>
      <c r="E829" s="5">
        <v>33046042606</v>
      </c>
      <c r="F829" s="5">
        <v>3254</v>
      </c>
      <c r="G829" s="5">
        <v>3275</v>
      </c>
      <c r="H829" s="5">
        <v>3244</v>
      </c>
      <c r="I829" s="5">
        <v>-0.31</v>
      </c>
      <c r="J829" s="5">
        <v>3203</v>
      </c>
      <c r="K829" s="5">
        <v>3333</v>
      </c>
    </row>
    <row r="830" spans="1:11" x14ac:dyDescent="0.3">
      <c r="A830" s="9" t="s">
        <v>1671</v>
      </c>
      <c r="B830" s="5" t="s">
        <v>1672</v>
      </c>
      <c r="C830" s="5">
        <v>617</v>
      </c>
      <c r="D830" s="5">
        <v>8750688</v>
      </c>
      <c r="E830" s="5">
        <v>16642374538</v>
      </c>
      <c r="F830" s="5">
        <v>1926</v>
      </c>
      <c r="G830" s="5">
        <v>1939</v>
      </c>
      <c r="H830" s="5">
        <v>1902</v>
      </c>
      <c r="I830" s="5">
        <v>-1.25</v>
      </c>
      <c r="J830" s="5">
        <v>1870</v>
      </c>
      <c r="K830" s="5">
        <v>1950</v>
      </c>
    </row>
    <row r="831" spans="1:11" x14ac:dyDescent="0.3">
      <c r="A831" s="9" t="s">
        <v>1653</v>
      </c>
      <c r="B831" s="5" t="s">
        <v>1654</v>
      </c>
      <c r="C831" s="5">
        <v>2253</v>
      </c>
      <c r="D831" s="5">
        <v>36600927</v>
      </c>
      <c r="E831" s="5">
        <v>116299739577</v>
      </c>
      <c r="F831" s="5">
        <v>3176</v>
      </c>
      <c r="G831" s="5">
        <v>3291</v>
      </c>
      <c r="H831" s="5">
        <v>3178</v>
      </c>
      <c r="I831" s="5">
        <v>0.06</v>
      </c>
      <c r="J831" s="5">
        <v>3126</v>
      </c>
      <c r="K831" s="5">
        <v>3291</v>
      </c>
    </row>
    <row r="832" spans="1:11" x14ac:dyDescent="0.3">
      <c r="A832" s="9" t="s">
        <v>842</v>
      </c>
      <c r="B832" s="5" t="s">
        <v>843</v>
      </c>
      <c r="C832" s="5">
        <v>444</v>
      </c>
      <c r="D832" s="5">
        <v>3745768</v>
      </c>
      <c r="E832" s="5">
        <v>54278655720</v>
      </c>
      <c r="F832" s="5">
        <v>13810</v>
      </c>
      <c r="G832" s="5">
        <v>14480</v>
      </c>
      <c r="H832" s="5">
        <v>14490</v>
      </c>
      <c r="I832" s="5">
        <v>4.92</v>
      </c>
      <c r="J832" s="5">
        <v>13900</v>
      </c>
      <c r="K832" s="5">
        <v>14500</v>
      </c>
    </row>
    <row r="833" spans="1:11" x14ac:dyDescent="0.3">
      <c r="A833" s="9" t="s">
        <v>888</v>
      </c>
      <c r="B833" s="5" t="s">
        <v>889</v>
      </c>
      <c r="C833" s="5">
        <v>121</v>
      </c>
      <c r="D833" s="5">
        <v>1343589</v>
      </c>
      <c r="E833" s="5">
        <v>19299524690</v>
      </c>
      <c r="F833" s="5">
        <v>13700</v>
      </c>
      <c r="G833" s="5">
        <v>14380</v>
      </c>
      <c r="H833" s="5">
        <v>14360</v>
      </c>
      <c r="I833" s="5">
        <v>4.82</v>
      </c>
      <c r="J833" s="5">
        <v>13790</v>
      </c>
      <c r="K833" s="5">
        <v>14380</v>
      </c>
    </row>
    <row r="834" spans="1:11" x14ac:dyDescent="0.3">
      <c r="A834" s="9" t="s">
        <v>111</v>
      </c>
      <c r="B834" s="5" t="s">
        <v>110</v>
      </c>
      <c r="C834" s="5">
        <v>7353</v>
      </c>
      <c r="D834" s="5">
        <v>37465756</v>
      </c>
      <c r="E834" s="5">
        <v>1549285850256</v>
      </c>
      <c r="F834" s="5">
        <v>41281</v>
      </c>
      <c r="G834" s="5">
        <v>41349</v>
      </c>
      <c r="H834" s="5">
        <v>41352</v>
      </c>
      <c r="I834" s="5">
        <v>0.17</v>
      </c>
      <c r="J834" s="5">
        <v>41331</v>
      </c>
      <c r="K834" s="5">
        <v>41370</v>
      </c>
    </row>
    <row r="835" spans="1:11" x14ac:dyDescent="0.3">
      <c r="A835" s="9" t="s">
        <v>1676</v>
      </c>
      <c r="B835" s="5" t="s">
        <v>110</v>
      </c>
      <c r="C835" s="5">
        <v>776</v>
      </c>
      <c r="D835" s="5">
        <v>77600000</v>
      </c>
      <c r="E835" s="5">
        <v>77600000</v>
      </c>
      <c r="F835" s="5">
        <v>41281</v>
      </c>
      <c r="G835" s="5">
        <v>1</v>
      </c>
      <c r="H835" s="5">
        <v>1</v>
      </c>
      <c r="I835" s="5">
        <v>-100</v>
      </c>
      <c r="J835" s="5">
        <v>1</v>
      </c>
      <c r="K835" s="5">
        <v>1</v>
      </c>
    </row>
    <row r="836" spans="1:11" x14ac:dyDescent="0.3">
      <c r="A836" s="9" t="s">
        <v>1710</v>
      </c>
      <c r="B836" s="5" t="s">
        <v>110</v>
      </c>
      <c r="C836" s="5">
        <v>6</v>
      </c>
      <c r="D836" s="5">
        <v>17346000</v>
      </c>
      <c r="E836" s="5">
        <v>716844030000</v>
      </c>
      <c r="F836" s="5">
        <v>41281</v>
      </c>
      <c r="G836" s="5">
        <v>41330</v>
      </c>
      <c r="H836" s="5">
        <v>41326</v>
      </c>
      <c r="I836" s="5">
        <v>0.11</v>
      </c>
      <c r="J836" s="5">
        <v>41281</v>
      </c>
      <c r="K836" s="5">
        <v>41330</v>
      </c>
    </row>
    <row r="837" spans="1:11" x14ac:dyDescent="0.3">
      <c r="A837" s="9" t="s">
        <v>1609</v>
      </c>
      <c r="B837" s="5" t="s">
        <v>1610</v>
      </c>
      <c r="C837" s="5">
        <v>782</v>
      </c>
      <c r="D837" s="5">
        <v>41883615</v>
      </c>
      <c r="E837" s="5">
        <v>84864644223</v>
      </c>
      <c r="F837" s="5">
        <v>1969</v>
      </c>
      <c r="G837" s="5">
        <v>2028</v>
      </c>
      <c r="H837" s="5">
        <v>2026</v>
      </c>
      <c r="I837" s="5">
        <v>2.89</v>
      </c>
      <c r="J837" s="5">
        <v>2000</v>
      </c>
      <c r="K837" s="5">
        <v>2028</v>
      </c>
    </row>
    <row r="838" spans="1:11" x14ac:dyDescent="0.3">
      <c r="A838" s="9" t="s">
        <v>1775</v>
      </c>
      <c r="B838" s="5" t="s">
        <v>1776</v>
      </c>
      <c r="C838" s="5">
        <v>1129</v>
      </c>
      <c r="D838" s="5">
        <v>12315925</v>
      </c>
      <c r="E838" s="5">
        <v>82455335230</v>
      </c>
      <c r="F838" s="5">
        <v>6900</v>
      </c>
      <c r="G838" s="5">
        <v>6930</v>
      </c>
      <c r="H838" s="5">
        <v>6700</v>
      </c>
      <c r="I838" s="5">
        <v>-2.9</v>
      </c>
      <c r="J838" s="5">
        <v>6570</v>
      </c>
      <c r="K838" s="5">
        <v>6940</v>
      </c>
    </row>
    <row r="839" spans="1:11" x14ac:dyDescent="0.3">
      <c r="A839" s="9" t="s">
        <v>497</v>
      </c>
      <c r="B839" s="5" t="s">
        <v>498</v>
      </c>
      <c r="C839" s="5">
        <v>1117</v>
      </c>
      <c r="D839" s="5">
        <v>1903266</v>
      </c>
      <c r="E839" s="5">
        <v>26858251190</v>
      </c>
      <c r="F839" s="5">
        <v>13630</v>
      </c>
      <c r="G839" s="5">
        <v>13640</v>
      </c>
      <c r="H839" s="5">
        <v>14110</v>
      </c>
      <c r="I839" s="5">
        <v>3.52</v>
      </c>
      <c r="J839" s="5">
        <v>13640</v>
      </c>
      <c r="K839" s="5">
        <v>14310</v>
      </c>
    </row>
    <row r="840" spans="1:11" x14ac:dyDescent="0.3">
      <c r="A840" s="9" t="s">
        <v>1126</v>
      </c>
      <c r="B840" s="5" t="s">
        <v>1127</v>
      </c>
      <c r="C840" s="5">
        <v>1</v>
      </c>
      <c r="D840" s="5">
        <v>5000</v>
      </c>
      <c r="E840" s="5">
        <v>4324000000</v>
      </c>
      <c r="F840" s="5">
        <v>855900</v>
      </c>
      <c r="G840" s="5">
        <v>864800</v>
      </c>
      <c r="H840" s="5">
        <v>864800</v>
      </c>
      <c r="I840" s="5">
        <v>1.04</v>
      </c>
      <c r="J840" s="5">
        <v>864800</v>
      </c>
      <c r="K840" s="5">
        <v>864800</v>
      </c>
    </row>
    <row r="841" spans="1:11" x14ac:dyDescent="0.3">
      <c r="A841" s="9" t="s">
        <v>1350</v>
      </c>
      <c r="B841" s="5" t="s">
        <v>1351</v>
      </c>
      <c r="C841" s="5">
        <v>6</v>
      </c>
      <c r="D841" s="5">
        <v>910000</v>
      </c>
      <c r="E841" s="5">
        <v>771680000000</v>
      </c>
      <c r="F841" s="5">
        <v>836500</v>
      </c>
      <c r="G841" s="5">
        <v>848000</v>
      </c>
      <c r="H841" s="5">
        <v>848000</v>
      </c>
      <c r="I841" s="5">
        <v>1.37</v>
      </c>
      <c r="J841" s="5">
        <v>848000</v>
      </c>
      <c r="K841" s="5">
        <v>848000</v>
      </c>
    </row>
    <row r="842" spans="1:11" x14ac:dyDescent="0.3">
      <c r="A842" s="9" t="s">
        <v>1808</v>
      </c>
      <c r="B842" s="5" t="s">
        <v>1809</v>
      </c>
      <c r="C842" s="5">
        <v>1</v>
      </c>
      <c r="D842" s="5">
        <v>80000</v>
      </c>
      <c r="E842" s="5">
        <v>67840000000</v>
      </c>
      <c r="F842" s="5">
        <v>836880</v>
      </c>
      <c r="G842" s="5">
        <v>848000</v>
      </c>
      <c r="H842" s="5">
        <v>848000</v>
      </c>
      <c r="I842" s="5">
        <v>1.33</v>
      </c>
      <c r="J842" s="5">
        <v>848000</v>
      </c>
      <c r="K842" s="5">
        <v>848000</v>
      </c>
    </row>
    <row r="843" spans="1:11" x14ac:dyDescent="0.3">
      <c r="A843" s="9" t="s">
        <v>951</v>
      </c>
      <c r="B843" s="5" t="s">
        <v>952</v>
      </c>
      <c r="C843" s="5">
        <v>8</v>
      </c>
      <c r="D843" s="5">
        <v>230000</v>
      </c>
      <c r="E843" s="5">
        <v>189755650000</v>
      </c>
      <c r="F843" s="5">
        <v>816340</v>
      </c>
      <c r="G843" s="5">
        <v>816000</v>
      </c>
      <c r="H843" s="5">
        <v>825020</v>
      </c>
      <c r="I843" s="5">
        <v>1.06</v>
      </c>
      <c r="J843" s="5">
        <v>816000</v>
      </c>
      <c r="K843" s="5">
        <v>830000</v>
      </c>
    </row>
    <row r="844" spans="1:11" x14ac:dyDescent="0.3">
      <c r="A844" s="9" t="s">
        <v>1193</v>
      </c>
      <c r="B844" s="5" t="s">
        <v>952</v>
      </c>
      <c r="C844" s="5">
        <v>9</v>
      </c>
      <c r="D844" s="5">
        <v>1699</v>
      </c>
      <c r="E844" s="5">
        <v>1386384000</v>
      </c>
      <c r="F844" s="5">
        <v>816340</v>
      </c>
      <c r="G844" s="5">
        <v>816000</v>
      </c>
      <c r="H844" s="5">
        <v>816000</v>
      </c>
      <c r="I844" s="5">
        <v>-0.04</v>
      </c>
      <c r="J844" s="5">
        <v>816000</v>
      </c>
      <c r="K844" s="5">
        <v>816000</v>
      </c>
    </row>
    <row r="845" spans="1:11" x14ac:dyDescent="0.3">
      <c r="A845" s="9" t="s">
        <v>1560</v>
      </c>
      <c r="B845" s="5" t="s">
        <v>1561</v>
      </c>
      <c r="C845" s="5">
        <v>134</v>
      </c>
      <c r="D845" s="5">
        <v>135906</v>
      </c>
      <c r="E845" s="5">
        <v>20952914650</v>
      </c>
      <c r="F845" s="5">
        <v>154000</v>
      </c>
      <c r="G845" s="5">
        <v>157700</v>
      </c>
      <c r="H845" s="5">
        <v>154150</v>
      </c>
      <c r="I845" s="5">
        <v>0.1</v>
      </c>
      <c r="J845" s="5">
        <v>149400</v>
      </c>
      <c r="K845" s="5">
        <v>157700</v>
      </c>
    </row>
    <row r="846" spans="1:11" x14ac:dyDescent="0.3">
      <c r="A846" s="9" t="s">
        <v>1461</v>
      </c>
      <c r="B846" s="5" t="s">
        <v>1462</v>
      </c>
      <c r="C846" s="5">
        <v>8951</v>
      </c>
      <c r="D846" s="5">
        <v>63979653</v>
      </c>
      <c r="E846" s="5">
        <v>524524268950</v>
      </c>
      <c r="F846" s="5">
        <v>7990</v>
      </c>
      <c r="G846" s="5">
        <v>7970</v>
      </c>
      <c r="H846" s="5">
        <v>8200</v>
      </c>
      <c r="I846" s="5">
        <v>2.63</v>
      </c>
      <c r="J846" s="5">
        <v>7900</v>
      </c>
      <c r="K846" s="5">
        <v>8390</v>
      </c>
    </row>
    <row r="847" spans="1:11" x14ac:dyDescent="0.3">
      <c r="A847" s="9" t="s">
        <v>1027</v>
      </c>
      <c r="B847" s="5" t="s">
        <v>1028</v>
      </c>
      <c r="C847" s="5">
        <v>296</v>
      </c>
      <c r="D847" s="5">
        <v>1331973</v>
      </c>
      <c r="E847" s="5">
        <v>27933511100</v>
      </c>
      <c r="F847" s="5">
        <v>21200</v>
      </c>
      <c r="G847" s="5">
        <v>20750</v>
      </c>
      <c r="H847" s="5">
        <v>20950</v>
      </c>
      <c r="I847" s="5">
        <v>-1.18</v>
      </c>
      <c r="J847" s="5">
        <v>20750</v>
      </c>
      <c r="K847" s="5">
        <v>21600</v>
      </c>
    </row>
    <row r="848" spans="1:11" x14ac:dyDescent="0.3">
      <c r="A848" s="9" t="s">
        <v>355</v>
      </c>
      <c r="B848" s="5" t="s">
        <v>354</v>
      </c>
      <c r="C848" s="5">
        <v>4</v>
      </c>
      <c r="D848" s="5">
        <v>9363</v>
      </c>
      <c r="E848" s="5">
        <v>118446363</v>
      </c>
      <c r="F848" s="5">
        <v>12386</v>
      </c>
      <c r="G848" s="5">
        <v>12537</v>
      </c>
      <c r="H848" s="5">
        <v>12650</v>
      </c>
      <c r="I848" s="5">
        <v>2.13</v>
      </c>
      <c r="J848" s="5">
        <v>12537</v>
      </c>
      <c r="K848" s="5">
        <v>12663</v>
      </c>
    </row>
    <row r="849" spans="1:11" x14ac:dyDescent="0.3">
      <c r="A849" s="9" t="s">
        <v>1318</v>
      </c>
      <c r="B849" s="5" t="s">
        <v>1319</v>
      </c>
      <c r="C849" s="5">
        <v>278</v>
      </c>
      <c r="D849" s="5">
        <v>561490</v>
      </c>
      <c r="E849" s="5">
        <v>12544900969</v>
      </c>
      <c r="F849" s="5">
        <v>21841</v>
      </c>
      <c r="G849" s="5">
        <v>22216</v>
      </c>
      <c r="H849" s="5">
        <v>22342</v>
      </c>
      <c r="I849" s="5">
        <v>2.29</v>
      </c>
      <c r="J849" s="5">
        <v>22208</v>
      </c>
      <c r="K849" s="5">
        <v>22644</v>
      </c>
    </row>
    <row r="850" spans="1:11" x14ac:dyDescent="0.3">
      <c r="A850" s="9" t="s">
        <v>95</v>
      </c>
      <c r="B850" s="5" t="s">
        <v>94</v>
      </c>
      <c r="C850" s="5">
        <v>14</v>
      </c>
      <c r="D850" s="5">
        <v>93116</v>
      </c>
      <c r="E850" s="5">
        <v>1669918266</v>
      </c>
      <c r="F850" s="5">
        <v>17924</v>
      </c>
      <c r="G850" s="5">
        <v>17931</v>
      </c>
      <c r="H850" s="5">
        <v>17934</v>
      </c>
      <c r="I850" s="5">
        <v>0.06</v>
      </c>
      <c r="J850" s="5">
        <v>17931</v>
      </c>
      <c r="K850" s="5">
        <v>17937</v>
      </c>
    </row>
    <row r="851" spans="1:11" x14ac:dyDescent="0.3">
      <c r="A851" s="9" t="s">
        <v>135</v>
      </c>
      <c r="B851" s="5" t="s">
        <v>134</v>
      </c>
      <c r="C851" s="5">
        <v>74</v>
      </c>
      <c r="D851" s="5">
        <v>28189336</v>
      </c>
      <c r="E851" s="5">
        <v>287194084678</v>
      </c>
      <c r="F851" s="5">
        <v>10181</v>
      </c>
      <c r="G851" s="5">
        <v>10193</v>
      </c>
      <c r="H851" s="5">
        <v>10188</v>
      </c>
      <c r="I851" s="5">
        <v>7.0000000000000007E-2</v>
      </c>
      <c r="J851" s="5">
        <v>10187</v>
      </c>
      <c r="K851" s="5">
        <v>10193</v>
      </c>
    </row>
    <row r="852" spans="1:11" x14ac:dyDescent="0.3">
      <c r="A852" s="9" t="s">
        <v>925</v>
      </c>
      <c r="B852" s="5" t="s">
        <v>926</v>
      </c>
      <c r="C852" s="5">
        <v>15</v>
      </c>
      <c r="D852" s="5">
        <v>24697</v>
      </c>
      <c r="E852" s="5">
        <v>873038950</v>
      </c>
      <c r="F852" s="5">
        <v>36400</v>
      </c>
      <c r="G852" s="5">
        <v>35350</v>
      </c>
      <c r="H852" s="5">
        <v>36400</v>
      </c>
      <c r="I852" s="5">
        <v>0</v>
      </c>
      <c r="J852" s="5">
        <v>35350</v>
      </c>
      <c r="K852" s="5">
        <v>35350</v>
      </c>
    </row>
    <row r="853" spans="1:11" x14ac:dyDescent="0.3">
      <c r="A853" s="9" t="s">
        <v>1323</v>
      </c>
      <c r="B853" s="5" t="s">
        <v>1322</v>
      </c>
      <c r="C853" s="5">
        <v>2604</v>
      </c>
      <c r="D853" s="5">
        <v>8648409</v>
      </c>
      <c r="E853" s="5">
        <v>1159476386881</v>
      </c>
      <c r="F853" s="5">
        <v>130599</v>
      </c>
      <c r="G853" s="5">
        <v>133500</v>
      </c>
      <c r="H853" s="5">
        <v>134068</v>
      </c>
      <c r="I853" s="5">
        <v>2.66</v>
      </c>
      <c r="J853" s="5">
        <v>132255</v>
      </c>
      <c r="K853" s="5">
        <v>136298</v>
      </c>
    </row>
    <row r="854" spans="1:11" x14ac:dyDescent="0.3">
      <c r="A854" s="9" t="s">
        <v>1499</v>
      </c>
      <c r="B854" s="5" t="s">
        <v>1322</v>
      </c>
      <c r="C854" s="5">
        <v>585</v>
      </c>
      <c r="D854" s="5">
        <v>5850000</v>
      </c>
      <c r="E854" s="5">
        <v>5850000</v>
      </c>
      <c r="F854" s="5">
        <v>130599</v>
      </c>
      <c r="G854" s="5">
        <v>1</v>
      </c>
      <c r="H854" s="5">
        <v>1</v>
      </c>
      <c r="I854" s="5">
        <v>-100</v>
      </c>
      <c r="J854" s="5">
        <v>1</v>
      </c>
      <c r="K854" s="5">
        <v>1</v>
      </c>
    </row>
    <row r="855" spans="1:11" x14ac:dyDescent="0.3">
      <c r="A855" s="9" t="s">
        <v>1316</v>
      </c>
      <c r="B855" s="5" t="s">
        <v>1317</v>
      </c>
      <c r="C855" s="5">
        <v>540</v>
      </c>
      <c r="D855" s="5">
        <v>3389986</v>
      </c>
      <c r="E855" s="5">
        <v>15786009757</v>
      </c>
      <c r="F855" s="5">
        <v>4633</v>
      </c>
      <c r="G855" s="5">
        <v>4630</v>
      </c>
      <c r="H855" s="5">
        <v>4657</v>
      </c>
      <c r="I855" s="5">
        <v>0.52</v>
      </c>
      <c r="J855" s="5">
        <v>4600</v>
      </c>
      <c r="K855" s="5">
        <v>4800</v>
      </c>
    </row>
    <row r="856" spans="1:11" x14ac:dyDescent="0.3">
      <c r="A856" s="9" t="s">
        <v>993</v>
      </c>
      <c r="B856" s="5" t="s">
        <v>994</v>
      </c>
      <c r="C856" s="5">
        <v>409</v>
      </c>
      <c r="D856" s="5">
        <v>3615531</v>
      </c>
      <c r="E856" s="5">
        <v>19566321500</v>
      </c>
      <c r="F856" s="5">
        <v>5270</v>
      </c>
      <c r="G856" s="5">
        <v>5130</v>
      </c>
      <c r="H856" s="5">
        <v>5410</v>
      </c>
      <c r="I856" s="5">
        <v>2.66</v>
      </c>
      <c r="J856" s="5">
        <v>5130</v>
      </c>
      <c r="K856" s="5">
        <v>5480</v>
      </c>
    </row>
    <row r="857" spans="1:11" x14ac:dyDescent="0.3">
      <c r="A857" s="9" t="s">
        <v>527</v>
      </c>
      <c r="B857" s="5" t="s">
        <v>528</v>
      </c>
      <c r="C857" s="5">
        <v>1992</v>
      </c>
      <c r="D857" s="5">
        <v>45093544</v>
      </c>
      <c r="E857" s="5">
        <v>509921243786</v>
      </c>
      <c r="F857" s="5">
        <v>11287</v>
      </c>
      <c r="G857" s="5">
        <v>11295</v>
      </c>
      <c r="H857" s="5">
        <v>11308</v>
      </c>
      <c r="I857" s="5">
        <v>0.19</v>
      </c>
      <c r="J857" s="5">
        <v>11295</v>
      </c>
      <c r="K857" s="5">
        <v>11327</v>
      </c>
    </row>
    <row r="858" spans="1:11" x14ac:dyDescent="0.3">
      <c r="A858" s="9" t="s">
        <v>1257</v>
      </c>
      <c r="B858" s="5" t="s">
        <v>1258</v>
      </c>
      <c r="C858" s="5">
        <v>404</v>
      </c>
      <c r="D858" s="5">
        <v>1808148</v>
      </c>
      <c r="E858" s="5">
        <v>22208254620</v>
      </c>
      <c r="F858" s="5">
        <v>11880</v>
      </c>
      <c r="G858" s="5">
        <v>11950</v>
      </c>
      <c r="H858" s="5">
        <v>12280</v>
      </c>
      <c r="I858" s="5">
        <v>3.37</v>
      </c>
      <c r="J858" s="5">
        <v>11950</v>
      </c>
      <c r="K858" s="5">
        <v>12470</v>
      </c>
    </row>
    <row r="859" spans="1:11" x14ac:dyDescent="0.3">
      <c r="A859" s="9" t="s">
        <v>499</v>
      </c>
      <c r="B859" s="5" t="s">
        <v>500</v>
      </c>
      <c r="C859" s="5">
        <v>2094</v>
      </c>
      <c r="D859" s="5">
        <v>2415907</v>
      </c>
      <c r="E859" s="5">
        <v>207024487850</v>
      </c>
      <c r="F859" s="5">
        <v>81680</v>
      </c>
      <c r="G859" s="5">
        <v>85760</v>
      </c>
      <c r="H859" s="5">
        <v>85690</v>
      </c>
      <c r="I859" s="5">
        <v>4.91</v>
      </c>
      <c r="J859" s="5">
        <v>84100</v>
      </c>
      <c r="K859" s="5">
        <v>85760</v>
      </c>
    </row>
    <row r="860" spans="1:11" x14ac:dyDescent="0.3">
      <c r="A860" s="9" t="s">
        <v>438</v>
      </c>
      <c r="B860" s="5" t="s">
        <v>439</v>
      </c>
      <c r="C860" s="5">
        <v>218</v>
      </c>
      <c r="D860" s="5">
        <v>2045340</v>
      </c>
      <c r="E860" s="5">
        <v>47572269350</v>
      </c>
      <c r="F860" s="5">
        <v>23950</v>
      </c>
      <c r="G860" s="5">
        <v>23250</v>
      </c>
      <c r="H860" s="5">
        <v>23250</v>
      </c>
      <c r="I860" s="5">
        <v>-2.92</v>
      </c>
      <c r="J860" s="5">
        <v>23250</v>
      </c>
      <c r="K860" s="5">
        <v>23600</v>
      </c>
    </row>
    <row r="861" spans="1:11" x14ac:dyDescent="0.3">
      <c r="A861" s="9" t="s">
        <v>1183</v>
      </c>
      <c r="B861" s="5" t="s">
        <v>1184</v>
      </c>
      <c r="C861" s="5">
        <v>441</v>
      </c>
      <c r="D861" s="5">
        <v>1105501</v>
      </c>
      <c r="E861" s="5">
        <v>16904612340</v>
      </c>
      <c r="F861" s="5">
        <v>15750</v>
      </c>
      <c r="G861" s="5">
        <v>15970</v>
      </c>
      <c r="H861" s="5">
        <v>15290</v>
      </c>
      <c r="I861" s="5">
        <v>-2.92</v>
      </c>
      <c r="J861" s="5">
        <v>15150</v>
      </c>
      <c r="K861" s="5">
        <v>15970</v>
      </c>
    </row>
    <row r="862" spans="1:11" x14ac:dyDescent="0.3">
      <c r="A862" s="9" t="s">
        <v>426</v>
      </c>
      <c r="B862" s="5" t="s">
        <v>427</v>
      </c>
      <c r="C862" s="5">
        <v>744</v>
      </c>
      <c r="D862" s="5">
        <v>2540706</v>
      </c>
      <c r="E862" s="5">
        <v>74789726950</v>
      </c>
      <c r="F862" s="5">
        <v>28120</v>
      </c>
      <c r="G862" s="5">
        <v>29300</v>
      </c>
      <c r="H862" s="5">
        <v>29440</v>
      </c>
      <c r="I862" s="5">
        <v>4.6900000000000004</v>
      </c>
      <c r="J862" s="5">
        <v>28330</v>
      </c>
      <c r="K862" s="5">
        <v>29520</v>
      </c>
    </row>
    <row r="863" spans="1:11" x14ac:dyDescent="0.3">
      <c r="A863" s="9" t="s">
        <v>481</v>
      </c>
      <c r="B863" s="5" t="s">
        <v>482</v>
      </c>
      <c r="C863" s="5">
        <v>807</v>
      </c>
      <c r="D863" s="5">
        <v>170622</v>
      </c>
      <c r="E863" s="5">
        <v>13193493400</v>
      </c>
      <c r="F863" s="5">
        <v>77300</v>
      </c>
      <c r="G863" s="5">
        <v>77350</v>
      </c>
      <c r="H863" s="5">
        <v>77350</v>
      </c>
      <c r="I863" s="5">
        <v>0.06</v>
      </c>
      <c r="J863" s="5">
        <v>75900</v>
      </c>
      <c r="K863" s="5">
        <v>79800</v>
      </c>
    </row>
    <row r="864" spans="1:11" x14ac:dyDescent="0.3">
      <c r="A864" s="9" t="s">
        <v>1177</v>
      </c>
      <c r="B864" s="5" t="s">
        <v>1178</v>
      </c>
      <c r="C864" s="5">
        <v>963</v>
      </c>
      <c r="D864" s="5">
        <v>45736824</v>
      </c>
      <c r="E864" s="5">
        <v>52259920371</v>
      </c>
      <c r="F864" s="5">
        <v>1161</v>
      </c>
      <c r="G864" s="5">
        <v>1156</v>
      </c>
      <c r="H864" s="5">
        <v>1143</v>
      </c>
      <c r="I864" s="5">
        <v>-1.55</v>
      </c>
      <c r="J864" s="5">
        <v>1129</v>
      </c>
      <c r="K864" s="5">
        <v>1178</v>
      </c>
    </row>
    <row r="865" spans="1:11" x14ac:dyDescent="0.3">
      <c r="A865" s="9" t="s">
        <v>1743</v>
      </c>
      <c r="B865" s="5" t="s">
        <v>1744</v>
      </c>
      <c r="C865" s="5">
        <v>232</v>
      </c>
      <c r="D865" s="5">
        <v>2382982</v>
      </c>
      <c r="E865" s="5">
        <v>11601321640</v>
      </c>
      <c r="F865" s="5">
        <v>4700</v>
      </c>
      <c r="G865" s="5">
        <v>4930</v>
      </c>
      <c r="H865" s="5">
        <v>4740</v>
      </c>
      <c r="I865" s="5">
        <v>0.85</v>
      </c>
      <c r="J865" s="5">
        <v>4830</v>
      </c>
      <c r="K865" s="5">
        <v>4930</v>
      </c>
    </row>
    <row r="866" spans="1:11" x14ac:dyDescent="0.3">
      <c r="A866" s="9" t="s">
        <v>821</v>
      </c>
      <c r="B866" s="5" t="s">
        <v>822</v>
      </c>
      <c r="C866" s="5">
        <v>1343</v>
      </c>
      <c r="D866" s="5">
        <v>40313716</v>
      </c>
      <c r="E866" s="5">
        <v>139004892084</v>
      </c>
      <c r="F866" s="5">
        <v>3464</v>
      </c>
      <c r="G866" s="5">
        <v>3498</v>
      </c>
      <c r="H866" s="5">
        <v>3448</v>
      </c>
      <c r="I866" s="5">
        <v>-0.46</v>
      </c>
      <c r="J866" s="5">
        <v>3250</v>
      </c>
      <c r="K866" s="5">
        <v>3590</v>
      </c>
    </row>
    <row r="867" spans="1:11" x14ac:dyDescent="0.3">
      <c r="A867" s="9" t="s">
        <v>305</v>
      </c>
      <c r="B867" s="5" t="s">
        <v>304</v>
      </c>
      <c r="C867" s="5">
        <v>2681</v>
      </c>
      <c r="D867" s="5">
        <v>55678891</v>
      </c>
      <c r="E867" s="5">
        <v>215018156250</v>
      </c>
      <c r="F867" s="5">
        <v>3942</v>
      </c>
      <c r="G867" s="5">
        <v>3998</v>
      </c>
      <c r="H867" s="5">
        <v>3862</v>
      </c>
      <c r="I867" s="5">
        <v>-2.0299999999999998</v>
      </c>
      <c r="J867" s="5">
        <v>3790</v>
      </c>
      <c r="K867" s="5">
        <v>3998</v>
      </c>
    </row>
    <row r="868" spans="1:11" x14ac:dyDescent="0.3">
      <c r="A868" s="9" t="s">
        <v>1835</v>
      </c>
      <c r="B868" s="5" t="s">
        <v>1836</v>
      </c>
      <c r="C868" s="5">
        <v>11</v>
      </c>
      <c r="D868" s="5">
        <v>2000000</v>
      </c>
      <c r="E868" s="5">
        <v>2000000000000</v>
      </c>
      <c r="F868" s="5">
        <v>1000000</v>
      </c>
      <c r="G868" s="5">
        <v>1000000</v>
      </c>
      <c r="H868" s="5">
        <v>1000000</v>
      </c>
      <c r="I868" s="5">
        <v>0</v>
      </c>
      <c r="J868" s="5">
        <v>1000000</v>
      </c>
      <c r="K868" s="5">
        <v>1000000</v>
      </c>
    </row>
    <row r="869" spans="1:11" x14ac:dyDescent="0.3">
      <c r="A869" s="9" t="s">
        <v>1299</v>
      </c>
      <c r="B869" s="5" t="s">
        <v>1300</v>
      </c>
      <c r="C869" s="5">
        <v>3063</v>
      </c>
      <c r="D869" s="5">
        <v>17384429</v>
      </c>
      <c r="E869" s="5">
        <v>396320286372</v>
      </c>
      <c r="F869" s="5">
        <v>22248</v>
      </c>
      <c r="G869" s="5">
        <v>22950</v>
      </c>
      <c r="H869" s="5">
        <v>22797</v>
      </c>
      <c r="I869" s="5">
        <v>2.4700000000000002</v>
      </c>
      <c r="J869" s="5">
        <v>22552</v>
      </c>
      <c r="K869" s="5">
        <v>23005</v>
      </c>
    </row>
    <row r="870" spans="1:11" x14ac:dyDescent="0.3">
      <c r="A870" s="9" t="s">
        <v>1549</v>
      </c>
      <c r="B870" s="5" t="s">
        <v>1300</v>
      </c>
      <c r="C870" s="5">
        <v>7</v>
      </c>
      <c r="D870" s="5">
        <v>6100000</v>
      </c>
      <c r="E870" s="5">
        <v>6100000</v>
      </c>
      <c r="F870" s="5">
        <v>22248</v>
      </c>
      <c r="G870" s="5">
        <v>1</v>
      </c>
      <c r="H870" s="5">
        <v>1</v>
      </c>
      <c r="I870" s="5">
        <v>-100</v>
      </c>
      <c r="J870" s="5">
        <v>1</v>
      </c>
      <c r="K870" s="5">
        <v>1</v>
      </c>
    </row>
    <row r="871" spans="1:11" x14ac:dyDescent="0.3">
      <c r="A871" s="9" t="s">
        <v>823</v>
      </c>
      <c r="B871" s="5" t="s">
        <v>824</v>
      </c>
      <c r="C871" s="5">
        <v>686</v>
      </c>
      <c r="D871" s="5">
        <v>5378953</v>
      </c>
      <c r="E871" s="5">
        <v>39550899840</v>
      </c>
      <c r="F871" s="5">
        <v>7220</v>
      </c>
      <c r="G871" s="5">
        <v>7270</v>
      </c>
      <c r="H871" s="5">
        <v>7350</v>
      </c>
      <c r="I871" s="5">
        <v>1.8</v>
      </c>
      <c r="J871" s="5">
        <v>7180</v>
      </c>
      <c r="K871" s="5">
        <v>7530</v>
      </c>
    </row>
    <row r="872" spans="1:11" x14ac:dyDescent="0.3">
      <c r="A872" s="9" t="s">
        <v>57</v>
      </c>
      <c r="B872" s="5" t="s">
        <v>56</v>
      </c>
      <c r="C872" s="5">
        <v>504</v>
      </c>
      <c r="D872" s="5">
        <v>6960670</v>
      </c>
      <c r="E872" s="5">
        <v>108858015936</v>
      </c>
      <c r="F872" s="5">
        <v>15507</v>
      </c>
      <c r="G872" s="5">
        <v>15850</v>
      </c>
      <c r="H872" s="5">
        <v>15639</v>
      </c>
      <c r="I872" s="5">
        <v>0.85</v>
      </c>
      <c r="J872" s="5">
        <v>15500</v>
      </c>
      <c r="K872" s="5">
        <v>15850</v>
      </c>
    </row>
    <row r="873" spans="1:11" x14ac:dyDescent="0.3">
      <c r="A873" s="9" t="s">
        <v>1021</v>
      </c>
      <c r="B873" s="5" t="s">
        <v>1022</v>
      </c>
      <c r="C873" s="5">
        <v>1494</v>
      </c>
      <c r="D873" s="5">
        <v>9247047</v>
      </c>
      <c r="E873" s="5">
        <v>30806968204</v>
      </c>
      <c r="F873" s="5">
        <v>3308</v>
      </c>
      <c r="G873" s="5">
        <v>3375</v>
      </c>
      <c r="H873" s="5">
        <v>3332</v>
      </c>
      <c r="I873" s="5">
        <v>0.73</v>
      </c>
      <c r="J873" s="5">
        <v>3275</v>
      </c>
      <c r="K873" s="5">
        <v>3425</v>
      </c>
    </row>
    <row r="874" spans="1:11" x14ac:dyDescent="0.3">
      <c r="A874" s="9" t="s">
        <v>215</v>
      </c>
      <c r="B874" s="5" t="s">
        <v>214</v>
      </c>
      <c r="C874" s="5">
        <v>69</v>
      </c>
      <c r="D874" s="5">
        <v>486967</v>
      </c>
      <c r="E874" s="5">
        <v>6125479643</v>
      </c>
      <c r="F874" s="5">
        <v>12431</v>
      </c>
      <c r="G874" s="5">
        <v>12491</v>
      </c>
      <c r="H874" s="5">
        <v>12579</v>
      </c>
      <c r="I874" s="5">
        <v>1.19</v>
      </c>
      <c r="J874" s="5">
        <v>11498</v>
      </c>
      <c r="K874" s="5">
        <v>12959</v>
      </c>
    </row>
    <row r="875" spans="1:11" x14ac:dyDescent="0.3">
      <c r="A875" s="9" t="s">
        <v>833</v>
      </c>
      <c r="B875" s="5" t="s">
        <v>834</v>
      </c>
      <c r="C875" s="5">
        <v>475</v>
      </c>
      <c r="D875" s="5">
        <v>2547961</v>
      </c>
      <c r="E875" s="5">
        <v>20879022080</v>
      </c>
      <c r="F875" s="5">
        <v>8230</v>
      </c>
      <c r="G875" s="5">
        <v>8260</v>
      </c>
      <c r="H875" s="5">
        <v>8190</v>
      </c>
      <c r="I875" s="5">
        <v>-0.49</v>
      </c>
      <c r="J875" s="5">
        <v>8100</v>
      </c>
      <c r="K875" s="5">
        <v>8370</v>
      </c>
    </row>
    <row r="876" spans="1:11" x14ac:dyDescent="0.3">
      <c r="A876" s="9" t="s">
        <v>1087</v>
      </c>
      <c r="B876" s="5" t="s">
        <v>1088</v>
      </c>
      <c r="C876" s="5">
        <v>531</v>
      </c>
      <c r="D876" s="5">
        <v>13387723</v>
      </c>
      <c r="E876" s="5">
        <v>19116031675</v>
      </c>
      <c r="F876" s="5">
        <v>1419</v>
      </c>
      <c r="G876" s="5">
        <v>1425</v>
      </c>
      <c r="H876" s="5">
        <v>1428</v>
      </c>
      <c r="I876" s="5">
        <v>0.63</v>
      </c>
      <c r="J876" s="5">
        <v>1409</v>
      </c>
      <c r="K876" s="5">
        <v>1452</v>
      </c>
    </row>
    <row r="877" spans="1:11" x14ac:dyDescent="0.3">
      <c r="A877" s="9" t="s">
        <v>501</v>
      </c>
      <c r="B877" s="5" t="s">
        <v>502</v>
      </c>
      <c r="C877" s="5">
        <v>20</v>
      </c>
      <c r="D877" s="5">
        <v>166295</v>
      </c>
      <c r="E877" s="5">
        <v>2667371800</v>
      </c>
      <c r="F877" s="5">
        <v>15580</v>
      </c>
      <c r="G877" s="5">
        <v>16040</v>
      </c>
      <c r="H877" s="5">
        <v>15640</v>
      </c>
      <c r="I877" s="5">
        <v>0.39</v>
      </c>
      <c r="J877" s="5">
        <v>16040</v>
      </c>
      <c r="K877" s="5">
        <v>16040</v>
      </c>
    </row>
    <row r="878" spans="1:11" x14ac:dyDescent="0.3">
      <c r="A878" s="9" t="s">
        <v>714</v>
      </c>
      <c r="B878" s="5" t="s">
        <v>715</v>
      </c>
      <c r="C878" s="5">
        <v>2</v>
      </c>
      <c r="D878" s="5">
        <v>220000</v>
      </c>
      <c r="E878" s="5">
        <v>220000000000</v>
      </c>
      <c r="F878" s="5">
        <v>1000000</v>
      </c>
      <c r="G878" s="5">
        <v>1000000</v>
      </c>
      <c r="H878" s="5">
        <v>1000000</v>
      </c>
      <c r="I878" s="5">
        <v>0</v>
      </c>
      <c r="J878" s="5">
        <v>1000000</v>
      </c>
      <c r="K878" s="5">
        <v>1000000</v>
      </c>
    </row>
    <row r="879" spans="1:11" x14ac:dyDescent="0.3">
      <c r="A879" s="9" t="s">
        <v>1596</v>
      </c>
      <c r="B879" s="5" t="s">
        <v>1597</v>
      </c>
      <c r="C879" s="5">
        <v>2212</v>
      </c>
      <c r="D879" s="5">
        <v>29126442</v>
      </c>
      <c r="E879" s="5">
        <v>291264420000</v>
      </c>
      <c r="F879" s="5">
        <v>10000</v>
      </c>
      <c r="G879" s="5">
        <v>10000</v>
      </c>
      <c r="H879" s="5">
        <v>10000</v>
      </c>
      <c r="I879" s="5">
        <v>0</v>
      </c>
      <c r="J879" s="5">
        <v>10000</v>
      </c>
      <c r="K879" s="5">
        <v>10000</v>
      </c>
    </row>
    <row r="880" spans="1:11" x14ac:dyDescent="0.3">
      <c r="A880" s="9" t="s">
        <v>1005</v>
      </c>
      <c r="B880" s="5" t="s">
        <v>1006</v>
      </c>
      <c r="C880" s="5">
        <v>39</v>
      </c>
      <c r="D880" s="5">
        <v>422985</v>
      </c>
      <c r="E880" s="5">
        <v>3405029250</v>
      </c>
      <c r="F880" s="5">
        <v>7820</v>
      </c>
      <c r="G880" s="5">
        <v>8050</v>
      </c>
      <c r="H880" s="5">
        <v>7860</v>
      </c>
      <c r="I880" s="5">
        <v>0.51</v>
      </c>
      <c r="J880" s="5">
        <v>8050</v>
      </c>
      <c r="K880" s="5">
        <v>8050</v>
      </c>
    </row>
    <row r="881" spans="1:11" x14ac:dyDescent="0.3">
      <c r="A881" s="9" t="s">
        <v>1745</v>
      </c>
      <c r="B881" s="5" t="s">
        <v>1746</v>
      </c>
      <c r="C881" s="5">
        <v>1</v>
      </c>
      <c r="D881" s="5">
        <v>27</v>
      </c>
      <c r="E881" s="5">
        <v>8660817</v>
      </c>
      <c r="F881" s="5">
        <v>305497</v>
      </c>
      <c r="G881" s="5">
        <v>320771</v>
      </c>
      <c r="H881" s="5">
        <v>320771</v>
      </c>
      <c r="I881" s="5">
        <v>5</v>
      </c>
      <c r="J881" s="5">
        <v>320771</v>
      </c>
      <c r="K881" s="5">
        <v>320771</v>
      </c>
    </row>
    <row r="882" spans="1:11" x14ac:dyDescent="0.3">
      <c r="A882" s="9" t="s">
        <v>392</v>
      </c>
      <c r="B882" s="5" t="s">
        <v>391</v>
      </c>
      <c r="C882" s="5">
        <v>5</v>
      </c>
      <c r="D882" s="5">
        <v>1948</v>
      </c>
      <c r="E882" s="5">
        <v>23361978</v>
      </c>
      <c r="F882" s="5">
        <v>11970</v>
      </c>
      <c r="G882" s="5">
        <v>11989</v>
      </c>
      <c r="H882" s="5">
        <v>11993</v>
      </c>
      <c r="I882" s="5">
        <v>0.19</v>
      </c>
      <c r="J882" s="5">
        <v>11989</v>
      </c>
      <c r="K882" s="5">
        <v>11996</v>
      </c>
    </row>
    <row r="883" spans="1:11" x14ac:dyDescent="0.3">
      <c r="A883" s="9" t="s">
        <v>64</v>
      </c>
      <c r="B883" s="5" t="s">
        <v>63</v>
      </c>
      <c r="C883" s="5">
        <v>502</v>
      </c>
      <c r="D883" s="5">
        <v>2911821</v>
      </c>
      <c r="E883" s="5">
        <v>20452133850</v>
      </c>
      <c r="F883" s="5">
        <v>7010</v>
      </c>
      <c r="G883" s="5">
        <v>7130</v>
      </c>
      <c r="H883" s="5">
        <v>7020</v>
      </c>
      <c r="I883" s="5">
        <v>0.14000000000000001</v>
      </c>
      <c r="J883" s="5">
        <v>6930</v>
      </c>
      <c r="K883" s="5">
        <v>7240</v>
      </c>
    </row>
    <row r="884" spans="1:11" x14ac:dyDescent="0.3">
      <c r="A884" s="9" t="s">
        <v>1293</v>
      </c>
      <c r="B884" s="5" t="s">
        <v>1294</v>
      </c>
      <c r="C884" s="5">
        <v>425</v>
      </c>
      <c r="D884" s="5">
        <v>1197542</v>
      </c>
      <c r="E884" s="5">
        <v>18224635915</v>
      </c>
      <c r="F884" s="5">
        <v>14822</v>
      </c>
      <c r="G884" s="5">
        <v>15101</v>
      </c>
      <c r="H884" s="5">
        <v>15218</v>
      </c>
      <c r="I884" s="5">
        <v>2.67</v>
      </c>
      <c r="J884" s="5">
        <v>15101</v>
      </c>
      <c r="K884" s="5">
        <v>15348</v>
      </c>
    </row>
    <row r="885" spans="1:11" x14ac:dyDescent="0.3">
      <c r="A885" s="9" t="s">
        <v>1804</v>
      </c>
      <c r="B885" s="5" t="s">
        <v>1294</v>
      </c>
      <c r="C885" s="5">
        <v>2</v>
      </c>
      <c r="D885" s="5">
        <v>132481</v>
      </c>
      <c r="E885" s="5">
        <v>132481</v>
      </c>
      <c r="F885" s="5">
        <v>14822</v>
      </c>
      <c r="G885" s="5">
        <v>1</v>
      </c>
      <c r="H885" s="5">
        <v>1</v>
      </c>
      <c r="I885" s="5">
        <v>-99.99</v>
      </c>
      <c r="J885" s="5">
        <v>1</v>
      </c>
      <c r="K885" s="5">
        <v>1</v>
      </c>
    </row>
    <row r="886" spans="1:11" x14ac:dyDescent="0.3">
      <c r="A886" s="9" t="s">
        <v>346</v>
      </c>
      <c r="B886" s="5" t="s">
        <v>345</v>
      </c>
      <c r="C886" s="5">
        <v>10</v>
      </c>
      <c r="D886" s="5">
        <v>1100</v>
      </c>
      <c r="E886" s="5">
        <v>86947630</v>
      </c>
      <c r="F886" s="5">
        <v>78810</v>
      </c>
      <c r="G886" s="5">
        <v>78910</v>
      </c>
      <c r="H886" s="5">
        <v>79040</v>
      </c>
      <c r="I886" s="5">
        <v>0.28999999999999998</v>
      </c>
      <c r="J886" s="5">
        <v>78900</v>
      </c>
      <c r="K886" s="5">
        <v>80390</v>
      </c>
    </row>
    <row r="887" spans="1:11" x14ac:dyDescent="0.3">
      <c r="A887" s="9" t="s">
        <v>1245</v>
      </c>
      <c r="B887" s="5" t="s">
        <v>1246</v>
      </c>
      <c r="C887" s="5">
        <v>187</v>
      </c>
      <c r="D887" s="5">
        <v>173033</v>
      </c>
      <c r="E887" s="5">
        <v>6724252190</v>
      </c>
      <c r="F887" s="5">
        <v>39120</v>
      </c>
      <c r="G887" s="5">
        <v>41000</v>
      </c>
      <c r="H887" s="5">
        <v>39010</v>
      </c>
      <c r="I887" s="5">
        <v>-0.28000000000000003</v>
      </c>
      <c r="J887" s="5">
        <v>37950</v>
      </c>
      <c r="K887" s="5">
        <v>41000</v>
      </c>
    </row>
    <row r="888" spans="1:11" x14ac:dyDescent="0.3">
      <c r="A888" s="9" t="s">
        <v>332</v>
      </c>
      <c r="B888" s="5" t="s">
        <v>296</v>
      </c>
      <c r="C888" s="5">
        <v>1358</v>
      </c>
      <c r="D888" s="5">
        <v>4263114</v>
      </c>
      <c r="E888" s="5">
        <v>69884568101</v>
      </c>
      <c r="F888" s="5">
        <v>16712</v>
      </c>
      <c r="G888" s="5">
        <v>16615</v>
      </c>
      <c r="H888" s="5">
        <v>16393</v>
      </c>
      <c r="I888" s="5">
        <v>-1.91</v>
      </c>
      <c r="J888" s="5">
        <v>16219</v>
      </c>
      <c r="K888" s="5">
        <v>16750</v>
      </c>
    </row>
    <row r="889" spans="1:11" x14ac:dyDescent="0.3">
      <c r="A889" s="9" t="s">
        <v>1179</v>
      </c>
      <c r="B889" s="5" t="s">
        <v>1180</v>
      </c>
      <c r="C889" s="5">
        <v>828</v>
      </c>
      <c r="D889" s="5">
        <v>13193833</v>
      </c>
      <c r="E889" s="5">
        <v>25950189327</v>
      </c>
      <c r="F889" s="5">
        <v>1958</v>
      </c>
      <c r="G889" s="5">
        <v>1958</v>
      </c>
      <c r="H889" s="5">
        <v>1967</v>
      </c>
      <c r="I889" s="5">
        <v>0.46</v>
      </c>
      <c r="J889" s="5">
        <v>1910</v>
      </c>
      <c r="K889" s="5">
        <v>2019</v>
      </c>
    </row>
    <row r="890" spans="1:11" x14ac:dyDescent="0.3">
      <c r="A890" s="9" t="s">
        <v>1740</v>
      </c>
      <c r="B890" s="5" t="s">
        <v>1661</v>
      </c>
      <c r="C890" s="5">
        <v>65</v>
      </c>
      <c r="D890" s="5">
        <v>15589481</v>
      </c>
      <c r="E890" s="5">
        <v>157358151956</v>
      </c>
      <c r="F890" s="5">
        <v>10068</v>
      </c>
      <c r="G890" s="5">
        <v>10092</v>
      </c>
      <c r="H890" s="5">
        <v>10094</v>
      </c>
      <c r="I890" s="5">
        <v>0.26</v>
      </c>
      <c r="J890" s="5">
        <v>10092</v>
      </c>
      <c r="K890" s="5">
        <v>10094</v>
      </c>
    </row>
    <row r="891" spans="1:11" x14ac:dyDescent="0.3">
      <c r="A891" s="9" t="s">
        <v>124</v>
      </c>
      <c r="B891" s="5" t="s">
        <v>123</v>
      </c>
      <c r="C891" s="5">
        <v>119</v>
      </c>
      <c r="D891" s="5">
        <v>21124235</v>
      </c>
      <c r="E891" s="5">
        <v>213347608144</v>
      </c>
      <c r="F891" s="5">
        <v>10077</v>
      </c>
      <c r="G891" s="5">
        <v>10100</v>
      </c>
      <c r="H891" s="5">
        <v>10100</v>
      </c>
      <c r="I891" s="5">
        <v>0.23</v>
      </c>
      <c r="J891" s="5">
        <v>10098</v>
      </c>
      <c r="K891" s="5">
        <v>10110</v>
      </c>
    </row>
    <row r="892" spans="1:11" x14ac:dyDescent="0.3">
      <c r="A892" s="9" t="s">
        <v>1643</v>
      </c>
      <c r="B892" s="5" t="s">
        <v>123</v>
      </c>
      <c r="C892" s="5">
        <v>29</v>
      </c>
      <c r="D892" s="5">
        <v>2900000</v>
      </c>
      <c r="E892" s="5">
        <v>2900000</v>
      </c>
      <c r="F892" s="5">
        <v>10077</v>
      </c>
      <c r="G892" s="5">
        <v>1</v>
      </c>
      <c r="H892" s="5">
        <v>1</v>
      </c>
      <c r="I892" s="5">
        <v>-99.99</v>
      </c>
      <c r="J892" s="5">
        <v>1</v>
      </c>
      <c r="K892" s="5">
        <v>1</v>
      </c>
    </row>
    <row r="893" spans="1:11" x14ac:dyDescent="0.3">
      <c r="A893" s="9" t="s">
        <v>688</v>
      </c>
      <c r="B893" s="5" t="s">
        <v>689</v>
      </c>
      <c r="C893" s="5">
        <v>4993</v>
      </c>
      <c r="D893" s="5">
        <v>126350344</v>
      </c>
      <c r="E893" s="5">
        <v>336479471091</v>
      </c>
      <c r="F893" s="5">
        <v>2698</v>
      </c>
      <c r="G893" s="5">
        <v>2750</v>
      </c>
      <c r="H893" s="5">
        <v>2663</v>
      </c>
      <c r="I893" s="5">
        <v>-1.3</v>
      </c>
      <c r="J893" s="5">
        <v>2610</v>
      </c>
      <c r="K893" s="5">
        <v>2750</v>
      </c>
    </row>
    <row r="894" spans="1:11" x14ac:dyDescent="0.3">
      <c r="A894" s="9" t="s">
        <v>369</v>
      </c>
      <c r="B894" s="5" t="s">
        <v>368</v>
      </c>
      <c r="C894" s="5">
        <v>158</v>
      </c>
      <c r="D894" s="5">
        <v>989914</v>
      </c>
      <c r="E894" s="5">
        <v>31082010550</v>
      </c>
      <c r="F894" s="5">
        <v>31450</v>
      </c>
      <c r="G894" s="5">
        <v>32600</v>
      </c>
      <c r="H894" s="5">
        <v>31400</v>
      </c>
      <c r="I894" s="5">
        <v>-0.16</v>
      </c>
      <c r="J894" s="5">
        <v>31150</v>
      </c>
      <c r="K894" s="5">
        <v>32600</v>
      </c>
    </row>
    <row r="895" spans="1:11" x14ac:dyDescent="0.3">
      <c r="A895" s="9" t="s">
        <v>1794</v>
      </c>
      <c r="B895" s="5" t="s">
        <v>1795</v>
      </c>
      <c r="C895" s="5">
        <v>220</v>
      </c>
      <c r="D895" s="5">
        <v>12206577</v>
      </c>
      <c r="E895" s="5">
        <v>113765297640</v>
      </c>
      <c r="F895" s="5">
        <v>8880</v>
      </c>
      <c r="G895" s="5">
        <v>9320</v>
      </c>
      <c r="H895" s="5">
        <v>9280</v>
      </c>
      <c r="I895" s="5">
        <v>4.5</v>
      </c>
      <c r="J895" s="5">
        <v>9320</v>
      </c>
      <c r="K895" s="5">
        <v>9320</v>
      </c>
    </row>
    <row r="896" spans="1:11" x14ac:dyDescent="0.3">
      <c r="A896" s="9" t="s">
        <v>137</v>
      </c>
      <c r="B896" s="5" t="s">
        <v>136</v>
      </c>
      <c r="C896" s="5">
        <v>1907</v>
      </c>
      <c r="D896" s="5">
        <v>52073885</v>
      </c>
      <c r="E896" s="5">
        <v>725764107208</v>
      </c>
      <c r="F896" s="5">
        <v>13724</v>
      </c>
      <c r="G896" s="5">
        <v>13999</v>
      </c>
      <c r="H896" s="5">
        <v>13937</v>
      </c>
      <c r="I896" s="5">
        <v>1.55</v>
      </c>
      <c r="J896" s="5">
        <v>13750</v>
      </c>
      <c r="K896" s="5">
        <v>14049</v>
      </c>
    </row>
    <row r="897" spans="1:11" x14ac:dyDescent="0.3">
      <c r="A897" s="9" t="s">
        <v>1463</v>
      </c>
      <c r="B897" s="5" t="s">
        <v>136</v>
      </c>
      <c r="C897" s="5">
        <v>11</v>
      </c>
      <c r="D897" s="5">
        <v>11000000</v>
      </c>
      <c r="E897" s="5">
        <v>11000000</v>
      </c>
      <c r="F897" s="5">
        <v>13724</v>
      </c>
      <c r="G897" s="5">
        <v>1</v>
      </c>
      <c r="H897" s="5">
        <v>1</v>
      </c>
      <c r="I897" s="5">
        <v>-99.99</v>
      </c>
      <c r="J897" s="5">
        <v>1</v>
      </c>
      <c r="K897" s="5">
        <v>1</v>
      </c>
    </row>
    <row r="898" spans="1:11" x14ac:dyDescent="0.3">
      <c r="A898" s="9" t="s">
        <v>306</v>
      </c>
      <c r="B898" s="5" t="s">
        <v>143</v>
      </c>
      <c r="C898" s="5">
        <v>5118</v>
      </c>
      <c r="D898" s="5">
        <v>251738363</v>
      </c>
      <c r="E898" s="5">
        <v>2531208119116</v>
      </c>
      <c r="F898" s="5">
        <v>10031</v>
      </c>
      <c r="G898" s="5">
        <v>10054</v>
      </c>
      <c r="H898" s="5">
        <v>10055</v>
      </c>
      <c r="I898" s="5">
        <v>0.24</v>
      </c>
      <c r="J898" s="5">
        <v>10054</v>
      </c>
      <c r="K898" s="5">
        <v>10056</v>
      </c>
    </row>
    <row r="899" spans="1:11" x14ac:dyDescent="0.3">
      <c r="A899" s="9" t="s">
        <v>1777</v>
      </c>
      <c r="B899" s="5" t="s">
        <v>1778</v>
      </c>
      <c r="C899" s="5">
        <v>154</v>
      </c>
      <c r="D899" s="5">
        <v>3007434</v>
      </c>
      <c r="E899" s="5">
        <v>15313853928</v>
      </c>
      <c r="F899" s="5">
        <v>4850</v>
      </c>
      <c r="G899" s="5">
        <v>5092</v>
      </c>
      <c r="H899" s="5">
        <v>4879</v>
      </c>
      <c r="I899" s="5">
        <v>0.6</v>
      </c>
      <c r="J899" s="5">
        <v>5092</v>
      </c>
      <c r="K899" s="5">
        <v>5092</v>
      </c>
    </row>
    <row r="900" spans="1:11" x14ac:dyDescent="0.3">
      <c r="A900" s="9" t="s">
        <v>601</v>
      </c>
      <c r="B900" s="5" t="s">
        <v>602</v>
      </c>
      <c r="C900" s="5">
        <v>26</v>
      </c>
      <c r="D900" s="5">
        <v>82106</v>
      </c>
      <c r="E900" s="5">
        <v>1193029213</v>
      </c>
      <c r="F900" s="5">
        <v>14132</v>
      </c>
      <c r="G900" s="5">
        <v>14700</v>
      </c>
      <c r="H900" s="5">
        <v>14530</v>
      </c>
      <c r="I900" s="5">
        <v>2.82</v>
      </c>
      <c r="J900" s="5">
        <v>14134</v>
      </c>
      <c r="K900" s="5">
        <v>14700</v>
      </c>
    </row>
    <row r="901" spans="1:11" x14ac:dyDescent="0.3">
      <c r="A901" s="9" t="s">
        <v>1081</v>
      </c>
      <c r="B901" s="5" t="s">
        <v>1082</v>
      </c>
      <c r="C901" s="5">
        <v>109</v>
      </c>
      <c r="D901" s="5">
        <v>112531</v>
      </c>
      <c r="E901" s="5">
        <v>21644013200</v>
      </c>
      <c r="F901" s="5">
        <v>186950</v>
      </c>
      <c r="G901" s="5">
        <v>192550</v>
      </c>
      <c r="H901" s="5">
        <v>192350</v>
      </c>
      <c r="I901" s="5">
        <v>2.89</v>
      </c>
      <c r="J901" s="5">
        <v>187000</v>
      </c>
      <c r="K901" s="5">
        <v>192550</v>
      </c>
    </row>
    <row r="902" spans="1:11" x14ac:dyDescent="0.3">
      <c r="A902" s="9" t="s">
        <v>516</v>
      </c>
      <c r="B902" s="5" t="s">
        <v>517</v>
      </c>
      <c r="C902" s="5">
        <v>1039</v>
      </c>
      <c r="D902" s="5">
        <v>15884963</v>
      </c>
      <c r="E902" s="5">
        <v>242477620640</v>
      </c>
      <c r="F902" s="5">
        <v>14350</v>
      </c>
      <c r="G902" s="5">
        <v>14640</v>
      </c>
      <c r="H902" s="5">
        <v>15260</v>
      </c>
      <c r="I902" s="5">
        <v>6.34</v>
      </c>
      <c r="J902" s="5">
        <v>14400</v>
      </c>
      <c r="K902" s="5">
        <v>15350</v>
      </c>
    </row>
    <row r="903" spans="1:11" x14ac:dyDescent="0.3">
      <c r="A903" s="9" t="s">
        <v>1537</v>
      </c>
      <c r="B903" s="5" t="s">
        <v>1538</v>
      </c>
      <c r="C903" s="5">
        <v>339</v>
      </c>
      <c r="D903" s="5">
        <v>7571565</v>
      </c>
      <c r="E903" s="5">
        <v>129052224750</v>
      </c>
      <c r="F903" s="5">
        <v>16610</v>
      </c>
      <c r="G903" s="5">
        <v>16760</v>
      </c>
      <c r="H903" s="5">
        <v>17040</v>
      </c>
      <c r="I903" s="5">
        <v>2.59</v>
      </c>
      <c r="J903" s="5">
        <v>16760</v>
      </c>
      <c r="K903" s="5">
        <v>17100</v>
      </c>
    </row>
    <row r="904" spans="1:11" x14ac:dyDescent="0.3">
      <c r="A904" s="9" t="s">
        <v>1530</v>
      </c>
      <c r="B904" s="5" t="s">
        <v>1531</v>
      </c>
      <c r="C904" s="5">
        <v>5845</v>
      </c>
      <c r="D904" s="5">
        <v>55619204</v>
      </c>
      <c r="E904" s="5">
        <v>520667702840</v>
      </c>
      <c r="F904" s="5">
        <v>9420</v>
      </c>
      <c r="G904" s="5">
        <v>9420</v>
      </c>
      <c r="H904" s="5">
        <v>9360</v>
      </c>
      <c r="I904" s="5">
        <v>-0.64</v>
      </c>
      <c r="J904" s="5">
        <v>9150</v>
      </c>
      <c r="K904" s="5">
        <v>9620</v>
      </c>
    </row>
    <row r="905" spans="1:11" x14ac:dyDescent="0.3">
      <c r="A905" s="9" t="s">
        <v>1613</v>
      </c>
      <c r="B905" s="5" t="s">
        <v>1614</v>
      </c>
      <c r="C905" s="5">
        <v>187</v>
      </c>
      <c r="D905" s="5">
        <v>3010097</v>
      </c>
      <c r="E905" s="5">
        <v>60204242940</v>
      </c>
      <c r="F905" s="5">
        <v>19960</v>
      </c>
      <c r="G905" s="5">
        <v>20000</v>
      </c>
      <c r="H905" s="5">
        <v>20000</v>
      </c>
      <c r="I905" s="5">
        <v>0.2</v>
      </c>
      <c r="J905" s="5">
        <v>19380</v>
      </c>
      <c r="K905" s="5">
        <v>20540</v>
      </c>
    </row>
    <row r="906" spans="1:11" x14ac:dyDescent="0.3">
      <c r="A906" s="9" t="s">
        <v>477</v>
      </c>
      <c r="B906" s="5" t="s">
        <v>478</v>
      </c>
      <c r="C906" s="5">
        <v>365</v>
      </c>
      <c r="D906" s="5">
        <v>18006542</v>
      </c>
      <c r="E906" s="5">
        <v>24899236797</v>
      </c>
      <c r="F906" s="5">
        <v>1343</v>
      </c>
      <c r="G906" s="5">
        <v>1383</v>
      </c>
      <c r="H906" s="5">
        <v>1383</v>
      </c>
      <c r="I906" s="5">
        <v>2.98</v>
      </c>
      <c r="J906" s="5">
        <v>1368</v>
      </c>
      <c r="K906" s="5">
        <v>1383</v>
      </c>
    </row>
    <row r="907" spans="1:11" x14ac:dyDescent="0.3">
      <c r="A907" s="9" t="s">
        <v>1431</v>
      </c>
      <c r="B907" s="5" t="s">
        <v>1432</v>
      </c>
      <c r="C907" s="5">
        <v>236</v>
      </c>
      <c r="D907" s="5">
        <v>5303572</v>
      </c>
      <c r="E907" s="5">
        <v>15944468207</v>
      </c>
      <c r="F907" s="5">
        <v>3010</v>
      </c>
      <c r="G907" s="5">
        <v>3120</v>
      </c>
      <c r="H907" s="5">
        <v>3006</v>
      </c>
      <c r="I907" s="5">
        <v>-0.13</v>
      </c>
      <c r="J907" s="5">
        <v>2920</v>
      </c>
      <c r="K907" s="5">
        <v>3130</v>
      </c>
    </row>
    <row r="908" spans="1:11" x14ac:dyDescent="0.3">
      <c r="A908" s="9" t="s">
        <v>1289</v>
      </c>
      <c r="B908" s="5" t="s">
        <v>1290</v>
      </c>
      <c r="C908" s="5">
        <v>128</v>
      </c>
      <c r="D908" s="5">
        <v>4366332</v>
      </c>
      <c r="E908" s="5">
        <v>11888271467</v>
      </c>
      <c r="F908" s="5">
        <v>2647</v>
      </c>
      <c r="G908" s="5">
        <v>2726</v>
      </c>
      <c r="H908" s="5">
        <v>2689</v>
      </c>
      <c r="I908" s="5">
        <v>1.59</v>
      </c>
      <c r="J908" s="5">
        <v>2700</v>
      </c>
      <c r="K908" s="5">
        <v>2726</v>
      </c>
    </row>
    <row r="909" spans="1:11" x14ac:dyDescent="0.3">
      <c r="A909" s="9" t="s">
        <v>463</v>
      </c>
      <c r="B909" s="5" t="s">
        <v>464</v>
      </c>
      <c r="C909" s="5">
        <v>688</v>
      </c>
      <c r="D909" s="5">
        <v>6588250</v>
      </c>
      <c r="E909" s="5">
        <v>42048370320</v>
      </c>
      <c r="F909" s="5">
        <v>6340</v>
      </c>
      <c r="G909" s="5">
        <v>6450</v>
      </c>
      <c r="H909" s="5">
        <v>6380</v>
      </c>
      <c r="I909" s="5">
        <v>0.63</v>
      </c>
      <c r="J909" s="5">
        <v>6300</v>
      </c>
      <c r="K909" s="5">
        <v>6500</v>
      </c>
    </row>
    <row r="910" spans="1:11" x14ac:dyDescent="0.3">
      <c r="A910" s="9" t="s">
        <v>115</v>
      </c>
      <c r="B910" s="5" t="s">
        <v>114</v>
      </c>
      <c r="C910" s="5">
        <v>743</v>
      </c>
      <c r="D910" s="5">
        <v>7697646</v>
      </c>
      <c r="E910" s="5">
        <v>111895026460</v>
      </c>
      <c r="F910" s="5">
        <v>14560</v>
      </c>
      <c r="G910" s="5">
        <v>14460</v>
      </c>
      <c r="H910" s="5">
        <v>14540</v>
      </c>
      <c r="I910" s="5">
        <v>-0.14000000000000001</v>
      </c>
      <c r="J910" s="5">
        <v>14360</v>
      </c>
      <c r="K910" s="5">
        <v>15050</v>
      </c>
    </row>
    <row r="911" spans="1:11" x14ac:dyDescent="0.3">
      <c r="A911" s="9" t="s">
        <v>1897</v>
      </c>
      <c r="B911" s="5" t="s">
        <v>114</v>
      </c>
      <c r="C911" s="5">
        <v>4</v>
      </c>
      <c r="D911" s="5">
        <v>200000000</v>
      </c>
      <c r="E911" s="5">
        <v>2912000000000</v>
      </c>
      <c r="F911" s="5">
        <v>14560</v>
      </c>
      <c r="G911" s="5">
        <v>14560</v>
      </c>
      <c r="H911" s="5">
        <v>14560</v>
      </c>
      <c r="I911" s="5">
        <v>0</v>
      </c>
      <c r="J911" s="5">
        <v>14560</v>
      </c>
      <c r="K911" s="5">
        <v>14560</v>
      </c>
    </row>
    <row r="912" spans="1:11" x14ac:dyDescent="0.3">
      <c r="A912" s="9" t="s">
        <v>450</v>
      </c>
      <c r="B912" s="5" t="s">
        <v>451</v>
      </c>
      <c r="C912" s="5">
        <v>75</v>
      </c>
      <c r="D912" s="5">
        <v>514403</v>
      </c>
      <c r="E912" s="5">
        <v>5870283210</v>
      </c>
      <c r="F912" s="5">
        <v>11430</v>
      </c>
      <c r="G912" s="5">
        <v>11440</v>
      </c>
      <c r="H912" s="5">
        <v>11430</v>
      </c>
      <c r="I912" s="5">
        <v>0</v>
      </c>
      <c r="J912" s="5">
        <v>11090</v>
      </c>
      <c r="K912" s="5">
        <v>11630</v>
      </c>
    </row>
    <row r="913" spans="1:11" x14ac:dyDescent="0.3">
      <c r="A913" s="9" t="s">
        <v>268</v>
      </c>
      <c r="B913" s="5" t="s">
        <v>267</v>
      </c>
      <c r="C913" s="5">
        <v>647</v>
      </c>
      <c r="D913" s="5">
        <v>7772875</v>
      </c>
      <c r="E913" s="5">
        <v>25303102745</v>
      </c>
      <c r="F913" s="5">
        <v>3268</v>
      </c>
      <c r="G913" s="5">
        <v>3330</v>
      </c>
      <c r="H913" s="5">
        <v>3255</v>
      </c>
      <c r="I913" s="5">
        <v>-0.4</v>
      </c>
      <c r="J913" s="5">
        <v>3168</v>
      </c>
      <c r="K913" s="5">
        <v>3330</v>
      </c>
    </row>
    <row r="914" spans="1:11" x14ac:dyDescent="0.3">
      <c r="A914" s="9" t="s">
        <v>945</v>
      </c>
      <c r="B914" s="5" t="s">
        <v>946</v>
      </c>
      <c r="C914" s="5">
        <v>101</v>
      </c>
      <c r="D914" s="5">
        <v>3240354</v>
      </c>
      <c r="E914" s="5">
        <v>7591724921</v>
      </c>
      <c r="F914" s="5">
        <v>2288</v>
      </c>
      <c r="G914" s="5">
        <v>2354</v>
      </c>
      <c r="H914" s="5">
        <v>2308</v>
      </c>
      <c r="I914" s="5">
        <v>0.87</v>
      </c>
      <c r="J914" s="5">
        <v>2248</v>
      </c>
      <c r="K914" s="5">
        <v>2356</v>
      </c>
    </row>
    <row r="915" spans="1:11" x14ac:dyDescent="0.3">
      <c r="A915" s="9" t="s">
        <v>382</v>
      </c>
      <c r="B915" s="5" t="s">
        <v>381</v>
      </c>
      <c r="C915" s="5">
        <v>487</v>
      </c>
      <c r="D915" s="5">
        <v>5742788</v>
      </c>
      <c r="E915" s="5">
        <v>26355793875</v>
      </c>
      <c r="F915" s="5">
        <v>4589</v>
      </c>
      <c r="G915" s="5">
        <v>4700</v>
      </c>
      <c r="H915" s="5">
        <v>4589</v>
      </c>
      <c r="I915" s="5">
        <v>0</v>
      </c>
      <c r="J915" s="5">
        <v>4480</v>
      </c>
      <c r="K915" s="5">
        <v>4730</v>
      </c>
    </row>
    <row r="916" spans="1:11" x14ac:dyDescent="0.3">
      <c r="A916" s="9" t="s">
        <v>167</v>
      </c>
      <c r="B916" s="5" t="s">
        <v>166</v>
      </c>
      <c r="C916" s="5">
        <v>76</v>
      </c>
      <c r="D916" s="5">
        <v>219505</v>
      </c>
      <c r="E916" s="5">
        <v>3468131930</v>
      </c>
      <c r="F916" s="5">
        <v>15450</v>
      </c>
      <c r="G916" s="5">
        <v>15910</v>
      </c>
      <c r="H916" s="5">
        <v>15800</v>
      </c>
      <c r="I916" s="5">
        <v>2.27</v>
      </c>
      <c r="J916" s="5">
        <v>15640</v>
      </c>
      <c r="K916" s="5">
        <v>16090</v>
      </c>
    </row>
    <row r="917" spans="1:11" x14ac:dyDescent="0.3">
      <c r="A917" s="9" t="s">
        <v>1412</v>
      </c>
      <c r="B917" s="5" t="s">
        <v>1413</v>
      </c>
      <c r="C917" s="5">
        <v>612</v>
      </c>
      <c r="D917" s="5">
        <v>8380033</v>
      </c>
      <c r="E917" s="5">
        <v>55522441010</v>
      </c>
      <c r="F917" s="5">
        <v>6610</v>
      </c>
      <c r="G917" s="5">
        <v>6640</v>
      </c>
      <c r="H917" s="5">
        <v>6630</v>
      </c>
      <c r="I917" s="5">
        <v>0.3</v>
      </c>
      <c r="J917" s="5">
        <v>6500</v>
      </c>
      <c r="K917" s="5">
        <v>6740</v>
      </c>
    </row>
    <row r="918" spans="1:11" x14ac:dyDescent="0.3">
      <c r="A918" s="9" t="s">
        <v>971</v>
      </c>
      <c r="B918" s="5" t="s">
        <v>972</v>
      </c>
      <c r="C918" s="5">
        <v>5846</v>
      </c>
      <c r="D918" s="5">
        <v>347766672</v>
      </c>
      <c r="E918" s="5">
        <v>704110162237</v>
      </c>
      <c r="F918" s="5">
        <v>2008</v>
      </c>
      <c r="G918" s="5">
        <v>2065</v>
      </c>
      <c r="H918" s="5">
        <v>2025</v>
      </c>
      <c r="I918" s="5">
        <v>0.85</v>
      </c>
      <c r="J918" s="5">
        <v>2000</v>
      </c>
      <c r="K918" s="5">
        <v>2071</v>
      </c>
    </row>
    <row r="919" spans="1:11" x14ac:dyDescent="0.3">
      <c r="A919" s="9" t="s">
        <v>1199</v>
      </c>
      <c r="B919" s="5" t="s">
        <v>1200</v>
      </c>
      <c r="C919" s="5">
        <v>10251</v>
      </c>
      <c r="D919" s="5">
        <v>335842675</v>
      </c>
      <c r="E919" s="5">
        <v>1137402292674</v>
      </c>
      <c r="F919" s="5">
        <v>3410</v>
      </c>
      <c r="G919" s="5">
        <v>3440</v>
      </c>
      <c r="H919" s="5">
        <v>3387</v>
      </c>
      <c r="I919" s="5">
        <v>-0.67</v>
      </c>
      <c r="J919" s="5">
        <v>3352</v>
      </c>
      <c r="K919" s="5">
        <v>3441</v>
      </c>
    </row>
    <row r="920" spans="1:11" x14ac:dyDescent="0.3">
      <c r="A920" s="9" t="s">
        <v>1796</v>
      </c>
      <c r="B920" s="5" t="s">
        <v>1200</v>
      </c>
      <c r="C920" s="5">
        <v>1</v>
      </c>
      <c r="D920" s="5">
        <v>29960000</v>
      </c>
      <c r="E920" s="5">
        <v>102163600000</v>
      </c>
      <c r="F920" s="5">
        <v>3410</v>
      </c>
      <c r="G920" s="5">
        <v>3410</v>
      </c>
      <c r="H920" s="5">
        <v>3410</v>
      </c>
      <c r="I920" s="5">
        <v>0</v>
      </c>
      <c r="J920" s="5">
        <v>3410</v>
      </c>
      <c r="K920" s="5">
        <v>3410</v>
      </c>
    </row>
    <row r="921" spans="1:11" x14ac:dyDescent="0.3">
      <c r="A921" s="9" t="s">
        <v>817</v>
      </c>
      <c r="B921" s="5" t="s">
        <v>818</v>
      </c>
      <c r="C921" s="5">
        <v>729</v>
      </c>
      <c r="D921" s="5">
        <v>11028963</v>
      </c>
      <c r="E921" s="5">
        <v>39942316241</v>
      </c>
      <c r="F921" s="5">
        <v>3497</v>
      </c>
      <c r="G921" s="5">
        <v>3580</v>
      </c>
      <c r="H921" s="5">
        <v>3622</v>
      </c>
      <c r="I921" s="5">
        <v>3.57</v>
      </c>
      <c r="J921" s="5">
        <v>3440</v>
      </c>
      <c r="K921" s="5">
        <v>3741</v>
      </c>
    </row>
    <row r="922" spans="1:11" x14ac:dyDescent="0.3">
      <c r="A922" s="9" t="s">
        <v>907</v>
      </c>
      <c r="B922" s="5" t="s">
        <v>908</v>
      </c>
      <c r="C922" s="5">
        <v>648</v>
      </c>
      <c r="D922" s="5">
        <v>15198974</v>
      </c>
      <c r="E922" s="5">
        <v>45371600791</v>
      </c>
      <c r="F922" s="5">
        <v>2910</v>
      </c>
      <c r="G922" s="5">
        <v>2976</v>
      </c>
      <c r="H922" s="5">
        <v>2985</v>
      </c>
      <c r="I922" s="5">
        <v>2.58</v>
      </c>
      <c r="J922" s="5">
        <v>2889</v>
      </c>
      <c r="K922" s="5">
        <v>3034</v>
      </c>
    </row>
    <row r="923" spans="1:11" x14ac:dyDescent="0.3">
      <c r="A923" s="9" t="s">
        <v>1506</v>
      </c>
      <c r="B923" s="5" t="s">
        <v>1507</v>
      </c>
      <c r="C923" s="5">
        <v>2384</v>
      </c>
      <c r="D923" s="5">
        <v>185713997</v>
      </c>
      <c r="E923" s="5">
        <v>81636924228</v>
      </c>
      <c r="F923" s="5">
        <v>468</v>
      </c>
      <c r="G923" s="5">
        <v>470</v>
      </c>
      <c r="H923" s="5">
        <v>440</v>
      </c>
      <c r="I923" s="5">
        <v>-5.98</v>
      </c>
      <c r="J923" s="5">
        <v>427</v>
      </c>
      <c r="K923" s="5">
        <v>479</v>
      </c>
    </row>
    <row r="924" spans="1:11" x14ac:dyDescent="0.3">
      <c r="A924" s="9" t="s">
        <v>452</v>
      </c>
      <c r="B924" s="5" t="s">
        <v>453</v>
      </c>
      <c r="C924" s="5">
        <v>2113</v>
      </c>
      <c r="D924" s="5">
        <v>51744909</v>
      </c>
      <c r="E924" s="5">
        <v>107346523844</v>
      </c>
      <c r="F924" s="5">
        <v>2074</v>
      </c>
      <c r="G924" s="5">
        <v>2090</v>
      </c>
      <c r="H924" s="5">
        <v>2074</v>
      </c>
      <c r="I924" s="5">
        <v>0</v>
      </c>
      <c r="J924" s="5">
        <v>2020</v>
      </c>
      <c r="K924" s="5">
        <v>2150</v>
      </c>
    </row>
    <row r="925" spans="1:11" x14ac:dyDescent="0.3">
      <c r="A925" s="9" t="s">
        <v>1846</v>
      </c>
      <c r="B925" s="5" t="s">
        <v>1847</v>
      </c>
      <c r="C925" s="5">
        <v>4031</v>
      </c>
      <c r="D925" s="5">
        <v>185252604</v>
      </c>
      <c r="E925" s="5">
        <v>535637129630</v>
      </c>
      <c r="F925" s="5">
        <v>2530</v>
      </c>
      <c r="G925" s="5">
        <v>2770</v>
      </c>
      <c r="H925" s="5">
        <v>2890</v>
      </c>
      <c r="I925" s="5">
        <v>14.23</v>
      </c>
      <c r="J925" s="5">
        <v>2700</v>
      </c>
      <c r="K925" s="5">
        <v>2960</v>
      </c>
    </row>
    <row r="926" spans="1:11" x14ac:dyDescent="0.3">
      <c r="A926" s="9" t="s">
        <v>1261</v>
      </c>
      <c r="B926" s="5" t="s">
        <v>1262</v>
      </c>
      <c r="C926" s="5">
        <v>815</v>
      </c>
      <c r="D926" s="5">
        <v>5580358</v>
      </c>
      <c r="E926" s="5">
        <v>113635103580</v>
      </c>
      <c r="F926" s="5">
        <v>20270</v>
      </c>
      <c r="G926" s="5">
        <v>20900</v>
      </c>
      <c r="H926" s="5">
        <v>20360</v>
      </c>
      <c r="I926" s="5">
        <v>0.44</v>
      </c>
      <c r="J926" s="5">
        <v>20010</v>
      </c>
      <c r="K926" s="5">
        <v>20900</v>
      </c>
    </row>
    <row r="927" spans="1:11" x14ac:dyDescent="0.3">
      <c r="A927" s="9" t="s">
        <v>1497</v>
      </c>
      <c r="B927" s="5" t="s">
        <v>1498</v>
      </c>
      <c r="C927" s="5">
        <v>405</v>
      </c>
      <c r="D927" s="5">
        <v>1878966</v>
      </c>
      <c r="E927" s="5">
        <v>75219186150</v>
      </c>
      <c r="F927" s="5">
        <v>39280</v>
      </c>
      <c r="G927" s="5">
        <v>40010</v>
      </c>
      <c r="H927" s="5">
        <v>40030</v>
      </c>
      <c r="I927" s="5">
        <v>1.91</v>
      </c>
      <c r="J927" s="5">
        <v>39310</v>
      </c>
      <c r="K927" s="5">
        <v>41090</v>
      </c>
    </row>
    <row r="928" spans="1:11" x14ac:dyDescent="0.3">
      <c r="A928" s="9" t="s">
        <v>341</v>
      </c>
      <c r="B928" s="5" t="s">
        <v>340</v>
      </c>
      <c r="C928" s="5">
        <v>361</v>
      </c>
      <c r="D928" s="5">
        <v>15499220</v>
      </c>
      <c r="E928" s="5">
        <v>26210401930</v>
      </c>
      <c r="F928" s="5">
        <v>1655</v>
      </c>
      <c r="G928" s="5">
        <v>1699</v>
      </c>
      <c r="H928" s="5">
        <v>1691</v>
      </c>
      <c r="I928" s="5">
        <v>2.1800000000000002</v>
      </c>
      <c r="J928" s="5">
        <v>1665</v>
      </c>
      <c r="K928" s="5">
        <v>1704</v>
      </c>
    </row>
    <row r="929" spans="1:11" x14ac:dyDescent="0.3">
      <c r="A929" s="9" t="s">
        <v>252</v>
      </c>
      <c r="B929" s="5" t="s">
        <v>251</v>
      </c>
      <c r="C929" s="5">
        <v>1491</v>
      </c>
      <c r="D929" s="5">
        <v>12401220</v>
      </c>
      <c r="E929" s="5">
        <v>36814086953</v>
      </c>
      <c r="F929" s="5">
        <v>2957</v>
      </c>
      <c r="G929" s="5">
        <v>3000</v>
      </c>
      <c r="H929" s="5">
        <v>2969</v>
      </c>
      <c r="I929" s="5">
        <v>0.41</v>
      </c>
      <c r="J929" s="5">
        <v>2932</v>
      </c>
      <c r="K929" s="5">
        <v>3025</v>
      </c>
    </row>
    <row r="930" spans="1:11" x14ac:dyDescent="0.3">
      <c r="A930" s="9" t="s">
        <v>408</v>
      </c>
      <c r="B930" s="5" t="s">
        <v>409</v>
      </c>
      <c r="C930" s="5">
        <v>405</v>
      </c>
      <c r="D930" s="5">
        <v>10742158</v>
      </c>
      <c r="E930" s="5">
        <v>17312112557</v>
      </c>
      <c r="F930" s="5">
        <v>1554</v>
      </c>
      <c r="G930" s="5">
        <v>1565</v>
      </c>
      <c r="H930" s="5">
        <v>1612</v>
      </c>
      <c r="I930" s="5">
        <v>3.73</v>
      </c>
      <c r="J930" s="5">
        <v>1561</v>
      </c>
      <c r="K930" s="5">
        <v>1631</v>
      </c>
    </row>
    <row r="931" spans="1:11" x14ac:dyDescent="0.3">
      <c r="A931" s="9" t="s">
        <v>983</v>
      </c>
      <c r="B931" s="5" t="s">
        <v>984</v>
      </c>
      <c r="C931" s="5">
        <v>668</v>
      </c>
      <c r="D931" s="5">
        <v>10421862</v>
      </c>
      <c r="E931" s="5">
        <v>163346616200</v>
      </c>
      <c r="F931" s="5">
        <v>14720</v>
      </c>
      <c r="G931" s="5">
        <v>15750</v>
      </c>
      <c r="H931" s="5">
        <v>15670</v>
      </c>
      <c r="I931" s="5">
        <v>6.45</v>
      </c>
      <c r="J931" s="5">
        <v>15010</v>
      </c>
      <c r="K931" s="5">
        <v>15750</v>
      </c>
    </row>
    <row r="932" spans="1:11" x14ac:dyDescent="0.3">
      <c r="A932" s="9" t="s">
        <v>1624</v>
      </c>
      <c r="B932" s="5" t="s">
        <v>1625</v>
      </c>
      <c r="C932" s="5">
        <v>191</v>
      </c>
      <c r="D932" s="5">
        <v>1639652</v>
      </c>
      <c r="E932" s="5">
        <v>12674579370</v>
      </c>
      <c r="F932" s="5">
        <v>7960</v>
      </c>
      <c r="G932" s="5">
        <v>7730</v>
      </c>
      <c r="H932" s="5">
        <v>7810</v>
      </c>
      <c r="I932" s="5">
        <v>-1.88</v>
      </c>
      <c r="J932" s="5">
        <v>7730</v>
      </c>
      <c r="K932" s="5">
        <v>7740</v>
      </c>
    </row>
    <row r="933" spans="1:11" x14ac:dyDescent="0.3">
      <c r="A933" s="9" t="s">
        <v>1568</v>
      </c>
      <c r="B933" s="5" t="s">
        <v>1569</v>
      </c>
      <c r="C933" s="5">
        <v>361</v>
      </c>
      <c r="D933" s="5">
        <v>3315800</v>
      </c>
      <c r="E933" s="5">
        <v>15515714862</v>
      </c>
      <c r="F933" s="5">
        <v>4621</v>
      </c>
      <c r="G933" s="5">
        <v>4745</v>
      </c>
      <c r="H933" s="5">
        <v>4677</v>
      </c>
      <c r="I933" s="5">
        <v>1.21</v>
      </c>
      <c r="J933" s="5">
        <v>4510</v>
      </c>
      <c r="K933" s="5">
        <v>4750</v>
      </c>
    </row>
    <row r="934" spans="1:11" x14ac:dyDescent="0.3">
      <c r="A934" s="9" t="s">
        <v>1380</v>
      </c>
      <c r="B934" s="5" t="s">
        <v>1381</v>
      </c>
      <c r="C934" s="5">
        <v>160</v>
      </c>
      <c r="D934" s="5">
        <v>410289</v>
      </c>
      <c r="E934" s="5">
        <v>14784595400</v>
      </c>
      <c r="F934" s="5">
        <v>35750</v>
      </c>
      <c r="G934" s="5">
        <v>36800</v>
      </c>
      <c r="H934" s="5">
        <v>35950</v>
      </c>
      <c r="I934" s="5">
        <v>0.56000000000000005</v>
      </c>
      <c r="J934" s="5">
        <v>34700</v>
      </c>
      <c r="K934" s="5">
        <v>36800</v>
      </c>
    </row>
    <row r="935" spans="1:11" x14ac:dyDescent="0.3">
      <c r="A935" s="9" t="s">
        <v>919</v>
      </c>
      <c r="B935" s="5" t="s">
        <v>920</v>
      </c>
      <c r="C935" s="5">
        <v>491</v>
      </c>
      <c r="D935" s="5">
        <v>3659086</v>
      </c>
      <c r="E935" s="5">
        <v>99876298500</v>
      </c>
      <c r="F935" s="5">
        <v>26550</v>
      </c>
      <c r="G935" s="5">
        <v>27300</v>
      </c>
      <c r="H935" s="5">
        <v>27300</v>
      </c>
      <c r="I935" s="5">
        <v>2.82</v>
      </c>
      <c r="J935" s="5">
        <v>27100</v>
      </c>
      <c r="K935" s="5">
        <v>27300</v>
      </c>
    </row>
    <row r="936" spans="1:11" x14ac:dyDescent="0.3">
      <c r="A936" s="9" t="s">
        <v>1617</v>
      </c>
      <c r="B936" s="5" t="s">
        <v>1618</v>
      </c>
      <c r="C936" s="5">
        <v>26</v>
      </c>
      <c r="D936" s="5">
        <v>258944</v>
      </c>
      <c r="E936" s="5">
        <v>619394048</v>
      </c>
      <c r="F936" s="5">
        <v>2323</v>
      </c>
      <c r="G936" s="5">
        <v>2392</v>
      </c>
      <c r="H936" s="5">
        <v>2392</v>
      </c>
      <c r="I936" s="5">
        <v>2.97</v>
      </c>
      <c r="J936" s="5">
        <v>2392</v>
      </c>
      <c r="K936" s="5">
        <v>2392</v>
      </c>
    </row>
    <row r="937" spans="1:11" x14ac:dyDescent="0.3">
      <c r="A937" s="9" t="s">
        <v>899</v>
      </c>
      <c r="B937" s="5" t="s">
        <v>900</v>
      </c>
      <c r="C937" s="5">
        <v>43</v>
      </c>
      <c r="D937" s="5">
        <v>958129</v>
      </c>
      <c r="E937" s="5">
        <v>4459132366</v>
      </c>
      <c r="F937" s="5">
        <v>4797</v>
      </c>
      <c r="G937" s="5">
        <v>4654</v>
      </c>
      <c r="H937" s="5">
        <v>4763</v>
      </c>
      <c r="I937" s="5">
        <v>-0.71</v>
      </c>
      <c r="J937" s="5">
        <v>4654</v>
      </c>
      <c r="K937" s="5">
        <v>4654</v>
      </c>
    </row>
    <row r="938" spans="1:11" x14ac:dyDescent="0.3">
      <c r="A938" s="9" t="s">
        <v>552</v>
      </c>
      <c r="B938" s="5" t="s">
        <v>553</v>
      </c>
      <c r="C938" s="5">
        <v>4058</v>
      </c>
      <c r="D938" s="5">
        <v>51548619</v>
      </c>
      <c r="E938" s="5">
        <v>271755913017</v>
      </c>
      <c r="F938" s="5">
        <v>5231</v>
      </c>
      <c r="G938" s="5">
        <v>5380</v>
      </c>
      <c r="H938" s="5">
        <v>5272</v>
      </c>
      <c r="I938" s="5">
        <v>0.78</v>
      </c>
      <c r="J938" s="5">
        <v>5127</v>
      </c>
      <c r="K938" s="5">
        <v>5380</v>
      </c>
    </row>
    <row r="939" spans="1:11" x14ac:dyDescent="0.3">
      <c r="A939" s="9" t="s">
        <v>432</v>
      </c>
      <c r="B939" s="5" t="s">
        <v>433</v>
      </c>
      <c r="C939" s="5">
        <v>335</v>
      </c>
      <c r="D939" s="5">
        <v>8802322</v>
      </c>
      <c r="E939" s="5">
        <v>40682966989</v>
      </c>
      <c r="F939" s="5">
        <v>4562</v>
      </c>
      <c r="G939" s="5">
        <v>4680</v>
      </c>
      <c r="H939" s="5">
        <v>4600</v>
      </c>
      <c r="I939" s="5">
        <v>0.83</v>
      </c>
      <c r="J939" s="5">
        <v>4563</v>
      </c>
      <c r="K939" s="5">
        <v>4690</v>
      </c>
    </row>
    <row r="940" spans="1:11" x14ac:dyDescent="0.3">
      <c r="A940" s="9" t="s">
        <v>1057</v>
      </c>
      <c r="B940" s="5" t="s">
        <v>1058</v>
      </c>
      <c r="C940" s="5">
        <v>118</v>
      </c>
      <c r="D940" s="5">
        <v>2040957</v>
      </c>
      <c r="E940" s="5">
        <v>9316409066</v>
      </c>
      <c r="F940" s="5">
        <v>4531</v>
      </c>
      <c r="G940" s="5">
        <v>4665</v>
      </c>
      <c r="H940" s="5">
        <v>4565</v>
      </c>
      <c r="I940" s="5">
        <v>0.75</v>
      </c>
      <c r="J940" s="5">
        <v>4510</v>
      </c>
      <c r="K940" s="5">
        <v>4665</v>
      </c>
    </row>
    <row r="941" spans="1:11" x14ac:dyDescent="0.3">
      <c r="A941" s="9" t="s">
        <v>1410</v>
      </c>
      <c r="B941" s="5" t="s">
        <v>1411</v>
      </c>
      <c r="C941" s="5">
        <v>904</v>
      </c>
      <c r="D941" s="5">
        <v>13734961</v>
      </c>
      <c r="E941" s="5">
        <v>60026216562</v>
      </c>
      <c r="F941" s="5">
        <v>4485</v>
      </c>
      <c r="G941" s="5">
        <v>4440</v>
      </c>
      <c r="H941" s="5">
        <v>4370</v>
      </c>
      <c r="I941" s="5">
        <v>-2.56</v>
      </c>
      <c r="J941" s="5">
        <v>4300</v>
      </c>
      <c r="K941" s="5">
        <v>4569</v>
      </c>
    </row>
    <row r="942" spans="1:11" x14ac:dyDescent="0.3">
      <c r="A942" s="9" t="s">
        <v>78</v>
      </c>
      <c r="B942" s="5" t="s">
        <v>77</v>
      </c>
      <c r="C942" s="5">
        <v>812</v>
      </c>
      <c r="D942" s="5">
        <v>41500403</v>
      </c>
      <c r="E942" s="5">
        <v>59785173454</v>
      </c>
      <c r="F942" s="5">
        <v>1448</v>
      </c>
      <c r="G942" s="5">
        <v>1481</v>
      </c>
      <c r="H942" s="5">
        <v>1441</v>
      </c>
      <c r="I942" s="5">
        <v>-0.48</v>
      </c>
      <c r="J942" s="5">
        <v>1410</v>
      </c>
      <c r="K942" s="5">
        <v>1487</v>
      </c>
    </row>
    <row r="943" spans="1:11" x14ac:dyDescent="0.3">
      <c r="A943" s="9" t="s">
        <v>1472</v>
      </c>
      <c r="B943" s="5" t="s">
        <v>1473</v>
      </c>
      <c r="C943" s="5">
        <v>2615</v>
      </c>
      <c r="D943" s="5">
        <v>51722440</v>
      </c>
      <c r="E943" s="5">
        <v>361052787030</v>
      </c>
      <c r="F943" s="5">
        <v>6710</v>
      </c>
      <c r="G943" s="5">
        <v>7140</v>
      </c>
      <c r="H943" s="5">
        <v>6980</v>
      </c>
      <c r="I943" s="5">
        <v>4.0199999999999996</v>
      </c>
      <c r="J943" s="5">
        <v>6750</v>
      </c>
      <c r="K943" s="5">
        <v>7140</v>
      </c>
    </row>
    <row r="944" spans="1:11" x14ac:dyDescent="0.3">
      <c r="A944" s="9" t="s">
        <v>1539</v>
      </c>
      <c r="B944" s="5" t="s">
        <v>1540</v>
      </c>
      <c r="C944" s="5">
        <v>2795</v>
      </c>
      <c r="D944" s="5">
        <v>124115190</v>
      </c>
      <c r="E944" s="5">
        <v>262873499935</v>
      </c>
      <c r="F944" s="5">
        <v>2015</v>
      </c>
      <c r="G944" s="5">
        <v>2080</v>
      </c>
      <c r="H944" s="5">
        <v>2118</v>
      </c>
      <c r="I944" s="5">
        <v>5.1100000000000003</v>
      </c>
      <c r="J944" s="5">
        <v>2015</v>
      </c>
      <c r="K944" s="5">
        <v>2156</v>
      </c>
    </row>
    <row r="945" spans="1:11" x14ac:dyDescent="0.3">
      <c r="A945" s="9" t="s">
        <v>541</v>
      </c>
      <c r="B945" s="5" t="s">
        <v>542</v>
      </c>
      <c r="C945" s="5">
        <v>681</v>
      </c>
      <c r="D945" s="5">
        <v>12696424</v>
      </c>
      <c r="E945" s="5">
        <v>31406719110</v>
      </c>
      <c r="F945" s="5">
        <v>2445</v>
      </c>
      <c r="G945" s="5">
        <v>2500</v>
      </c>
      <c r="H945" s="5">
        <v>2474</v>
      </c>
      <c r="I945" s="5">
        <v>1.19</v>
      </c>
      <c r="J945" s="5">
        <v>2405</v>
      </c>
      <c r="K945" s="5">
        <v>2540</v>
      </c>
    </row>
    <row r="946" spans="1:11" x14ac:dyDescent="0.3">
      <c r="A946" s="9" t="s">
        <v>1832</v>
      </c>
      <c r="B946" s="5" t="s">
        <v>542</v>
      </c>
      <c r="C946" s="5">
        <v>1</v>
      </c>
      <c r="D946" s="5">
        <v>20000000</v>
      </c>
      <c r="E946" s="5">
        <v>50000000000</v>
      </c>
      <c r="F946" s="5">
        <v>2445</v>
      </c>
      <c r="G946" s="5">
        <v>2500</v>
      </c>
      <c r="H946" s="5">
        <v>2500</v>
      </c>
      <c r="I946" s="5">
        <v>2.25</v>
      </c>
      <c r="J946" s="5">
        <v>2500</v>
      </c>
      <c r="K946" s="5">
        <v>2500</v>
      </c>
    </row>
    <row r="947" spans="1:11" x14ac:dyDescent="0.3">
      <c r="A947" s="9" t="s">
        <v>1109</v>
      </c>
      <c r="B947" s="5" t="s">
        <v>1110</v>
      </c>
      <c r="C947" s="5">
        <v>1041</v>
      </c>
      <c r="D947" s="5">
        <v>12387765</v>
      </c>
      <c r="E947" s="5">
        <v>73114001560</v>
      </c>
      <c r="F947" s="5">
        <v>5840</v>
      </c>
      <c r="G947" s="5">
        <v>6000</v>
      </c>
      <c r="H947" s="5">
        <v>5900</v>
      </c>
      <c r="I947" s="5">
        <v>1.03</v>
      </c>
      <c r="J947" s="5">
        <v>5820</v>
      </c>
      <c r="K947" s="5">
        <v>6000</v>
      </c>
    </row>
    <row r="948" spans="1:11" x14ac:dyDescent="0.3">
      <c r="A948" s="9" t="s">
        <v>1207</v>
      </c>
      <c r="B948" s="5" t="s">
        <v>1208</v>
      </c>
      <c r="C948" s="5">
        <v>529</v>
      </c>
      <c r="D948" s="5">
        <v>17394563</v>
      </c>
      <c r="E948" s="5">
        <v>56023855125</v>
      </c>
      <c r="F948" s="5">
        <v>3190</v>
      </c>
      <c r="G948" s="5">
        <v>3240</v>
      </c>
      <c r="H948" s="5">
        <v>3221</v>
      </c>
      <c r="I948" s="5">
        <v>0.97</v>
      </c>
      <c r="J948" s="5">
        <v>3165</v>
      </c>
      <c r="K948" s="5">
        <v>3308</v>
      </c>
    </row>
    <row r="949" spans="1:11" x14ac:dyDescent="0.3">
      <c r="A949" s="9" t="s">
        <v>1011</v>
      </c>
      <c r="B949" s="5" t="s">
        <v>1012</v>
      </c>
      <c r="C949" s="5">
        <v>211</v>
      </c>
      <c r="D949" s="5">
        <v>1035989</v>
      </c>
      <c r="E949" s="5">
        <v>15124591080</v>
      </c>
      <c r="F949" s="5">
        <v>14500</v>
      </c>
      <c r="G949" s="5">
        <v>14500</v>
      </c>
      <c r="H949" s="5">
        <v>14600</v>
      </c>
      <c r="I949" s="5">
        <v>0.69</v>
      </c>
      <c r="J949" s="5">
        <v>14100</v>
      </c>
      <c r="K949" s="5">
        <v>14930</v>
      </c>
    </row>
    <row r="950" spans="1:11" x14ac:dyDescent="0.3">
      <c r="A950" s="9" t="s">
        <v>1384</v>
      </c>
      <c r="B950" s="5" t="s">
        <v>1385</v>
      </c>
      <c r="C950" s="5">
        <v>191</v>
      </c>
      <c r="D950" s="5">
        <v>5991400</v>
      </c>
      <c r="E950" s="5">
        <v>11264099711</v>
      </c>
      <c r="F950" s="5">
        <v>1901</v>
      </c>
      <c r="G950" s="5">
        <v>1888</v>
      </c>
      <c r="H950" s="5">
        <v>1889</v>
      </c>
      <c r="I950" s="5">
        <v>-0.63</v>
      </c>
      <c r="J950" s="5">
        <v>1870</v>
      </c>
      <c r="K950" s="5">
        <v>1917</v>
      </c>
    </row>
    <row r="951" spans="1:11" x14ac:dyDescent="0.3">
      <c r="A951" s="9" t="s">
        <v>1044</v>
      </c>
      <c r="B951" s="5" t="s">
        <v>1045</v>
      </c>
      <c r="C951" s="5">
        <v>2124</v>
      </c>
      <c r="D951" s="5">
        <v>52583945</v>
      </c>
      <c r="E951" s="5">
        <v>204447393608</v>
      </c>
      <c r="F951" s="5">
        <v>3956</v>
      </c>
      <c r="G951" s="5">
        <v>3997</v>
      </c>
      <c r="H951" s="5">
        <v>3888</v>
      </c>
      <c r="I951" s="5">
        <v>-1.72</v>
      </c>
      <c r="J951" s="5">
        <v>3766</v>
      </c>
      <c r="K951" s="5">
        <v>3997</v>
      </c>
    </row>
    <row r="952" spans="1:11" x14ac:dyDescent="0.3">
      <c r="A952" s="9" t="s">
        <v>1374</v>
      </c>
      <c r="B952" s="5" t="s">
        <v>1375</v>
      </c>
      <c r="C952" s="5">
        <v>429</v>
      </c>
      <c r="D952" s="5">
        <v>1776057</v>
      </c>
      <c r="E952" s="5">
        <v>33812709230</v>
      </c>
      <c r="F952" s="5">
        <v>18280</v>
      </c>
      <c r="G952" s="5">
        <v>18280</v>
      </c>
      <c r="H952" s="5">
        <v>18470</v>
      </c>
      <c r="I952" s="5">
        <v>1.04</v>
      </c>
      <c r="J952" s="5">
        <v>18280</v>
      </c>
      <c r="K952" s="5">
        <v>19450</v>
      </c>
    </row>
    <row r="953" spans="1:11" x14ac:dyDescent="0.3">
      <c r="A953" s="9" t="s">
        <v>1023</v>
      </c>
      <c r="B953" s="5" t="s">
        <v>1024</v>
      </c>
      <c r="C953" s="5">
        <v>867</v>
      </c>
      <c r="D953" s="5">
        <v>25341267</v>
      </c>
      <c r="E953" s="5">
        <v>53410921109</v>
      </c>
      <c r="F953" s="5">
        <v>2082</v>
      </c>
      <c r="G953" s="5">
        <v>2109</v>
      </c>
      <c r="H953" s="5">
        <v>2108</v>
      </c>
      <c r="I953" s="5">
        <v>1.25</v>
      </c>
      <c r="J953" s="5">
        <v>2080</v>
      </c>
      <c r="K953" s="5">
        <v>2164</v>
      </c>
    </row>
    <row r="954" spans="1:11" x14ac:dyDescent="0.3">
      <c r="A954" s="9" t="s">
        <v>861</v>
      </c>
      <c r="B954" s="5" t="s">
        <v>862</v>
      </c>
      <c r="C954" s="5">
        <v>1056</v>
      </c>
      <c r="D954" s="5">
        <v>27135408</v>
      </c>
      <c r="E954" s="5">
        <v>58678487093</v>
      </c>
      <c r="F954" s="5">
        <v>2194</v>
      </c>
      <c r="G954" s="5">
        <v>2196</v>
      </c>
      <c r="H954" s="5">
        <v>2162</v>
      </c>
      <c r="I954" s="5">
        <v>-1.46</v>
      </c>
      <c r="J954" s="5">
        <v>2122</v>
      </c>
      <c r="K954" s="5">
        <v>2264</v>
      </c>
    </row>
    <row r="955" spans="1:11" x14ac:dyDescent="0.3">
      <c r="A955" s="9" t="s">
        <v>248</v>
      </c>
      <c r="B955" s="5" t="s">
        <v>247</v>
      </c>
      <c r="C955" s="5">
        <v>3127</v>
      </c>
      <c r="D955" s="5">
        <v>26473465</v>
      </c>
      <c r="E955" s="5">
        <v>672503729640</v>
      </c>
      <c r="F955" s="5">
        <v>24980</v>
      </c>
      <c r="G955" s="5">
        <v>25900</v>
      </c>
      <c r="H955" s="5">
        <v>25400</v>
      </c>
      <c r="I955" s="5">
        <v>1.68</v>
      </c>
      <c r="J955" s="5">
        <v>24900</v>
      </c>
      <c r="K955" s="5">
        <v>26490</v>
      </c>
    </row>
    <row r="956" spans="1:11" x14ac:dyDescent="0.3">
      <c r="A956" s="9" t="s">
        <v>1780</v>
      </c>
      <c r="B956" s="5" t="s">
        <v>247</v>
      </c>
      <c r="C956" s="5">
        <v>1</v>
      </c>
      <c r="D956" s="5">
        <v>2040000</v>
      </c>
      <c r="E956" s="5">
        <v>51408000000</v>
      </c>
      <c r="F956" s="5">
        <v>24980</v>
      </c>
      <c r="G956" s="5">
        <v>25200</v>
      </c>
      <c r="H956" s="5">
        <v>25200</v>
      </c>
      <c r="I956" s="5">
        <v>0.88</v>
      </c>
      <c r="J956" s="5">
        <v>25200</v>
      </c>
      <c r="K956" s="5">
        <v>25200</v>
      </c>
    </row>
    <row r="957" spans="1:11" x14ac:dyDescent="0.3">
      <c r="A957" s="9" t="s">
        <v>1468</v>
      </c>
      <c r="B957" s="5" t="s">
        <v>1469</v>
      </c>
      <c r="C957" s="5">
        <v>452</v>
      </c>
      <c r="D957" s="5">
        <v>11079495</v>
      </c>
      <c r="E957" s="5">
        <v>35779695904</v>
      </c>
      <c r="F957" s="5">
        <v>3139</v>
      </c>
      <c r="G957" s="5">
        <v>3170</v>
      </c>
      <c r="H957" s="5">
        <v>3229</v>
      </c>
      <c r="I957" s="5">
        <v>2.87</v>
      </c>
      <c r="J957" s="5">
        <v>3170</v>
      </c>
      <c r="K957" s="5">
        <v>3233</v>
      </c>
    </row>
    <row r="958" spans="1:11" x14ac:dyDescent="0.3">
      <c r="A958" s="9" t="s">
        <v>1639</v>
      </c>
      <c r="B958" s="5" t="s">
        <v>1640</v>
      </c>
      <c r="C958" s="5">
        <v>22005</v>
      </c>
      <c r="D958" s="5">
        <v>20469694</v>
      </c>
      <c r="E958" s="5">
        <v>367021613420</v>
      </c>
      <c r="F958" s="5">
        <v>17080</v>
      </c>
      <c r="G958" s="5">
        <v>17930</v>
      </c>
      <c r="H958" s="5">
        <v>17930</v>
      </c>
      <c r="I958" s="5">
        <v>4.9800000000000004</v>
      </c>
      <c r="J958" s="5">
        <v>17930</v>
      </c>
      <c r="K958" s="5">
        <v>17930</v>
      </c>
    </row>
    <row r="959" spans="1:11" x14ac:dyDescent="0.3">
      <c r="A959" s="9" t="s">
        <v>155</v>
      </c>
      <c r="B959" s="5" t="s">
        <v>154</v>
      </c>
      <c r="C959" s="5">
        <v>269</v>
      </c>
      <c r="D959" s="5">
        <v>3103649</v>
      </c>
      <c r="E959" s="5">
        <v>15216058871</v>
      </c>
      <c r="F959" s="5">
        <v>4834</v>
      </c>
      <c r="G959" s="5">
        <v>5000</v>
      </c>
      <c r="H959" s="5">
        <v>4903</v>
      </c>
      <c r="I959" s="5">
        <v>1.43</v>
      </c>
      <c r="J959" s="5">
        <v>4772</v>
      </c>
      <c r="K959" s="5">
        <v>5000</v>
      </c>
    </row>
    <row r="960" spans="1:11" x14ac:dyDescent="0.3">
      <c r="A960" s="9" t="s">
        <v>1842</v>
      </c>
      <c r="B960" s="5" t="s">
        <v>1843</v>
      </c>
      <c r="C960" s="5">
        <v>54</v>
      </c>
      <c r="D960" s="5">
        <v>377474</v>
      </c>
      <c r="E960" s="5">
        <v>10021584700</v>
      </c>
      <c r="F960" s="5">
        <v>25800</v>
      </c>
      <c r="G960" s="5">
        <v>26550</v>
      </c>
      <c r="H960" s="5">
        <v>26150</v>
      </c>
      <c r="I960" s="5">
        <v>1.36</v>
      </c>
      <c r="J960" s="5">
        <v>26500</v>
      </c>
      <c r="K960" s="5">
        <v>26550</v>
      </c>
    </row>
    <row r="961" spans="1:11" x14ac:dyDescent="0.3">
      <c r="A961" s="9" t="s">
        <v>740</v>
      </c>
      <c r="B961" s="5" t="s">
        <v>741</v>
      </c>
      <c r="C961" s="5">
        <v>1189</v>
      </c>
      <c r="D961" s="5">
        <v>22426411</v>
      </c>
      <c r="E961" s="5">
        <v>64778363251</v>
      </c>
      <c r="F961" s="5">
        <v>2919</v>
      </c>
      <c r="G961" s="5">
        <v>2956</v>
      </c>
      <c r="H961" s="5">
        <v>2888</v>
      </c>
      <c r="I961" s="5">
        <v>-1.06</v>
      </c>
      <c r="J961" s="5">
        <v>2857</v>
      </c>
      <c r="K961" s="5">
        <v>2959</v>
      </c>
    </row>
    <row r="962" spans="1:11" x14ac:dyDescent="0.3">
      <c r="A962" s="9" t="s">
        <v>434</v>
      </c>
      <c r="B962" s="5" t="s">
        <v>435</v>
      </c>
      <c r="C962" s="5">
        <v>287</v>
      </c>
      <c r="D962" s="5">
        <v>876540</v>
      </c>
      <c r="E962" s="5">
        <v>30887026300</v>
      </c>
      <c r="F962" s="5">
        <v>35250</v>
      </c>
      <c r="G962" s="5">
        <v>36000</v>
      </c>
      <c r="H962" s="5">
        <v>35250</v>
      </c>
      <c r="I962" s="5">
        <v>0</v>
      </c>
      <c r="J962" s="5">
        <v>34200</v>
      </c>
      <c r="K962" s="5">
        <v>36250</v>
      </c>
    </row>
    <row r="963" spans="1:11" x14ac:dyDescent="0.3">
      <c r="A963" s="9" t="s">
        <v>151</v>
      </c>
      <c r="B963" s="5" t="s">
        <v>150</v>
      </c>
      <c r="C963" s="5">
        <v>2923</v>
      </c>
      <c r="D963" s="5">
        <v>175199851</v>
      </c>
      <c r="E963" s="5">
        <v>283323531123</v>
      </c>
      <c r="F963" s="5">
        <v>1533</v>
      </c>
      <c r="G963" s="5">
        <v>1580</v>
      </c>
      <c r="H963" s="5">
        <v>1617</v>
      </c>
      <c r="I963" s="5">
        <v>5.48</v>
      </c>
      <c r="J963" s="5">
        <v>1520</v>
      </c>
      <c r="K963" s="5">
        <v>1640</v>
      </c>
    </row>
    <row r="964" spans="1:11" x14ac:dyDescent="0.3">
      <c r="A964" s="9" t="s">
        <v>609</v>
      </c>
      <c r="B964" s="5" t="s">
        <v>610</v>
      </c>
      <c r="C964" s="5">
        <v>687</v>
      </c>
      <c r="D964" s="5">
        <v>9655054</v>
      </c>
      <c r="E964" s="5">
        <v>34166675772</v>
      </c>
      <c r="F964" s="5">
        <v>3532</v>
      </c>
      <c r="G964" s="5">
        <v>3540</v>
      </c>
      <c r="H964" s="5">
        <v>3539</v>
      </c>
      <c r="I964" s="5">
        <v>0.2</v>
      </c>
      <c r="J964" s="5">
        <v>3410</v>
      </c>
      <c r="K964" s="5">
        <v>3645</v>
      </c>
    </row>
    <row r="965" spans="1:11" x14ac:dyDescent="0.3">
      <c r="A965" s="9" t="s">
        <v>1130</v>
      </c>
      <c r="B965" s="5" t="s">
        <v>1131</v>
      </c>
      <c r="C965" s="5">
        <v>928</v>
      </c>
      <c r="D965" s="5">
        <v>42815829</v>
      </c>
      <c r="E965" s="5">
        <v>194653446732</v>
      </c>
      <c r="F965" s="5">
        <v>4270</v>
      </c>
      <c r="G965" s="5">
        <v>4368</v>
      </c>
      <c r="H965" s="5">
        <v>4546</v>
      </c>
      <c r="I965" s="5">
        <v>6.46</v>
      </c>
      <c r="J965" s="5">
        <v>4340</v>
      </c>
      <c r="K965" s="5">
        <v>4568</v>
      </c>
    </row>
    <row r="966" spans="1:11" x14ac:dyDescent="0.3">
      <c r="A966" s="9" t="s">
        <v>1332</v>
      </c>
      <c r="B966" s="5" t="s">
        <v>1333</v>
      </c>
      <c r="C966" s="5">
        <v>838</v>
      </c>
      <c r="D966" s="5">
        <v>8891270</v>
      </c>
      <c r="E966" s="5">
        <v>36117934872</v>
      </c>
      <c r="F966" s="5">
        <v>4069</v>
      </c>
      <c r="G966" s="5">
        <v>4111</v>
      </c>
      <c r="H966" s="5">
        <v>4062</v>
      </c>
      <c r="I966" s="5">
        <v>-0.17</v>
      </c>
      <c r="J966" s="5">
        <v>3902</v>
      </c>
      <c r="K966" s="5">
        <v>4166</v>
      </c>
    </row>
    <row r="967" spans="1:11" x14ac:dyDescent="0.3">
      <c r="A967" s="9" t="s">
        <v>76</v>
      </c>
      <c r="B967" s="5" t="s">
        <v>75</v>
      </c>
      <c r="C967" s="5">
        <v>996</v>
      </c>
      <c r="D967" s="5">
        <v>851812</v>
      </c>
      <c r="E967" s="5">
        <v>7222805370</v>
      </c>
      <c r="F967" s="5">
        <v>8350</v>
      </c>
      <c r="G967" s="5">
        <v>8330</v>
      </c>
      <c r="H967" s="5">
        <v>8410</v>
      </c>
      <c r="I967" s="5">
        <v>0.72</v>
      </c>
      <c r="J967" s="5">
        <v>8330</v>
      </c>
      <c r="K967" s="5">
        <v>8640</v>
      </c>
    </row>
    <row r="968" spans="1:11" x14ac:dyDescent="0.3">
      <c r="A968" s="9" t="s">
        <v>1546</v>
      </c>
      <c r="B968" s="5" t="s">
        <v>1547</v>
      </c>
      <c r="C968" s="5">
        <v>1230</v>
      </c>
      <c r="D968" s="5">
        <v>15119399</v>
      </c>
      <c r="E968" s="5">
        <v>63725378036</v>
      </c>
      <c r="F968" s="5">
        <v>4118</v>
      </c>
      <c r="G968" s="5">
        <v>4250</v>
      </c>
      <c r="H968" s="5">
        <v>4215</v>
      </c>
      <c r="I968" s="5">
        <v>2.36</v>
      </c>
      <c r="J968" s="5">
        <v>4135</v>
      </c>
      <c r="K968" s="5">
        <v>4323</v>
      </c>
    </row>
    <row r="969" spans="1:11" x14ac:dyDescent="0.3">
      <c r="A969" s="9" t="s">
        <v>1502</v>
      </c>
      <c r="B969" s="5" t="s">
        <v>1503</v>
      </c>
      <c r="C969" s="5">
        <v>45</v>
      </c>
      <c r="D969" s="5">
        <v>64948</v>
      </c>
      <c r="E969" s="5">
        <v>8547156800</v>
      </c>
      <c r="F969" s="5">
        <v>127800</v>
      </c>
      <c r="G969" s="5">
        <v>131600</v>
      </c>
      <c r="H969" s="5">
        <v>131600</v>
      </c>
      <c r="I969" s="5">
        <v>2.97</v>
      </c>
      <c r="J969" s="5">
        <v>131600</v>
      </c>
      <c r="K969" s="5">
        <v>131600</v>
      </c>
    </row>
    <row r="970" spans="1:11" x14ac:dyDescent="0.3">
      <c r="A970" s="9" t="s">
        <v>9</v>
      </c>
      <c r="B970" s="5" t="s">
        <v>85</v>
      </c>
      <c r="C970" s="5">
        <v>5818</v>
      </c>
      <c r="D970" s="5">
        <v>180048454</v>
      </c>
      <c r="E970" s="5">
        <v>1124556009320</v>
      </c>
      <c r="F970" s="5">
        <v>5920</v>
      </c>
      <c r="G970" s="5">
        <v>6040</v>
      </c>
      <c r="H970" s="5">
        <v>6250</v>
      </c>
      <c r="I970" s="5">
        <v>5.57</v>
      </c>
      <c r="J970" s="5">
        <v>5950</v>
      </c>
      <c r="K970" s="5">
        <v>6330</v>
      </c>
    </row>
    <row r="971" spans="1:11" x14ac:dyDescent="0.3">
      <c r="A971" s="9" t="s">
        <v>882</v>
      </c>
      <c r="B971" s="5" t="s">
        <v>883</v>
      </c>
      <c r="C971" s="5">
        <v>21</v>
      </c>
      <c r="D971" s="5">
        <v>82715</v>
      </c>
      <c r="E971" s="5">
        <v>242851240</v>
      </c>
      <c r="F971" s="5">
        <v>2879</v>
      </c>
      <c r="G971" s="5">
        <v>2936</v>
      </c>
      <c r="H971" s="5">
        <v>2880</v>
      </c>
      <c r="I971" s="5">
        <v>0.03</v>
      </c>
      <c r="J971" s="5">
        <v>2936</v>
      </c>
      <c r="K971" s="5">
        <v>2936</v>
      </c>
    </row>
    <row r="972" spans="1:11" x14ac:dyDescent="0.3">
      <c r="A972" s="9" t="s">
        <v>1773</v>
      </c>
      <c r="B972" s="5" t="s">
        <v>1774</v>
      </c>
      <c r="C972" s="5">
        <v>1371</v>
      </c>
      <c r="D972" s="5">
        <v>40942961</v>
      </c>
      <c r="E972" s="5">
        <v>292680319530</v>
      </c>
      <c r="F972" s="5">
        <v>6830</v>
      </c>
      <c r="G972" s="5">
        <v>7170</v>
      </c>
      <c r="H972" s="5">
        <v>7150</v>
      </c>
      <c r="I972" s="5">
        <v>4.6900000000000004</v>
      </c>
      <c r="J972" s="5">
        <v>7000</v>
      </c>
      <c r="K972" s="5">
        <v>7170</v>
      </c>
    </row>
    <row r="973" spans="1:11" x14ac:dyDescent="0.3">
      <c r="A973" s="9" t="s">
        <v>1169</v>
      </c>
      <c r="B973" s="5" t="s">
        <v>1170</v>
      </c>
      <c r="C973" s="5">
        <v>1161</v>
      </c>
      <c r="D973" s="5">
        <v>35727725</v>
      </c>
      <c r="E973" s="5">
        <v>140353719669</v>
      </c>
      <c r="F973" s="5">
        <v>3858</v>
      </c>
      <c r="G973" s="5">
        <v>4000</v>
      </c>
      <c r="H973" s="5">
        <v>3928</v>
      </c>
      <c r="I973" s="5">
        <v>1.81</v>
      </c>
      <c r="J973" s="5">
        <v>3870</v>
      </c>
      <c r="K973" s="5">
        <v>4000</v>
      </c>
    </row>
    <row r="974" spans="1:11" x14ac:dyDescent="0.3">
      <c r="A974" s="9" t="s">
        <v>1798</v>
      </c>
      <c r="B974" s="5" t="s">
        <v>1170</v>
      </c>
      <c r="C974" s="5">
        <v>1</v>
      </c>
      <c r="D974" s="5">
        <v>20000000</v>
      </c>
      <c r="E974" s="5">
        <v>78600000000</v>
      </c>
      <c r="F974" s="5">
        <v>3858</v>
      </c>
      <c r="G974" s="5">
        <v>3930</v>
      </c>
      <c r="H974" s="5">
        <v>3930</v>
      </c>
      <c r="I974" s="5">
        <v>1.87</v>
      </c>
      <c r="J974" s="5">
        <v>3930</v>
      </c>
      <c r="K974" s="5">
        <v>3930</v>
      </c>
    </row>
    <row r="975" spans="1:11" x14ac:dyDescent="0.3">
      <c r="A975" s="9" t="s">
        <v>1001</v>
      </c>
      <c r="B975" s="5" t="s">
        <v>1002</v>
      </c>
      <c r="C975" s="5">
        <v>1142</v>
      </c>
      <c r="D975" s="5">
        <v>25667764</v>
      </c>
      <c r="E975" s="5">
        <v>78937034016</v>
      </c>
      <c r="F975" s="5">
        <v>3012</v>
      </c>
      <c r="G975" s="5">
        <v>3150</v>
      </c>
      <c r="H975" s="5">
        <v>3075</v>
      </c>
      <c r="I975" s="5">
        <v>2.09</v>
      </c>
      <c r="J975" s="5">
        <v>3010</v>
      </c>
      <c r="K975" s="5">
        <v>3159</v>
      </c>
    </row>
    <row r="976" spans="1:11" x14ac:dyDescent="0.3">
      <c r="A976" s="9" t="s">
        <v>748</v>
      </c>
      <c r="B976" s="5" t="s">
        <v>749</v>
      </c>
      <c r="C976" s="5">
        <v>340</v>
      </c>
      <c r="D976" s="5">
        <v>3240609</v>
      </c>
      <c r="E976" s="5">
        <v>25759794920</v>
      </c>
      <c r="F976" s="5">
        <v>7490</v>
      </c>
      <c r="G976" s="5">
        <v>7990</v>
      </c>
      <c r="H976" s="5">
        <v>7600</v>
      </c>
      <c r="I976" s="5">
        <v>1.47</v>
      </c>
      <c r="J976" s="5">
        <v>7850</v>
      </c>
      <c r="K976" s="5">
        <v>8010</v>
      </c>
    </row>
    <row r="977" spans="1:11" x14ac:dyDescent="0.3">
      <c r="A977" s="9" t="s">
        <v>277</v>
      </c>
      <c r="B977" s="5" t="s">
        <v>276</v>
      </c>
      <c r="C977" s="5">
        <v>1425</v>
      </c>
      <c r="D977" s="5">
        <v>14379257</v>
      </c>
      <c r="E977" s="5">
        <v>35291346109</v>
      </c>
      <c r="F977" s="5">
        <v>2444</v>
      </c>
      <c r="G977" s="5">
        <v>2460</v>
      </c>
      <c r="H977" s="5">
        <v>2454</v>
      </c>
      <c r="I977" s="5">
        <v>0.41</v>
      </c>
      <c r="J977" s="5">
        <v>2400</v>
      </c>
      <c r="K977" s="5">
        <v>2520</v>
      </c>
    </row>
    <row r="978" spans="1:11" x14ac:dyDescent="0.3">
      <c r="A978" s="9" t="s">
        <v>1305</v>
      </c>
      <c r="B978" s="5" t="s">
        <v>1306</v>
      </c>
      <c r="C978" s="5">
        <v>340</v>
      </c>
      <c r="D978" s="5">
        <v>12296372</v>
      </c>
      <c r="E978" s="5">
        <v>30847571398</v>
      </c>
      <c r="F978" s="5">
        <v>2481</v>
      </c>
      <c r="G978" s="5">
        <v>2499</v>
      </c>
      <c r="H978" s="5">
        <v>2509</v>
      </c>
      <c r="I978" s="5">
        <v>1.1299999999999999</v>
      </c>
      <c r="J978" s="5">
        <v>2453</v>
      </c>
      <c r="K978" s="5">
        <v>2549</v>
      </c>
    </row>
    <row r="979" spans="1:11" x14ac:dyDescent="0.3">
      <c r="A979" s="9" t="s">
        <v>1811</v>
      </c>
      <c r="B979" s="5" t="s">
        <v>1812</v>
      </c>
      <c r="C979" s="5">
        <v>156</v>
      </c>
      <c r="D979" s="5">
        <v>3320848</v>
      </c>
      <c r="E979" s="5">
        <v>5365533892</v>
      </c>
      <c r="F979" s="5">
        <v>1560</v>
      </c>
      <c r="G979" s="5">
        <v>1591</v>
      </c>
      <c r="H979" s="5">
        <v>1616</v>
      </c>
      <c r="I979" s="5">
        <v>3.59</v>
      </c>
      <c r="J979" s="5">
        <v>1591</v>
      </c>
      <c r="K979" s="5">
        <v>1637</v>
      </c>
    </row>
    <row r="980" spans="1:11" x14ac:dyDescent="0.3">
      <c r="A980" s="9" t="s">
        <v>1894</v>
      </c>
      <c r="B980" s="5" t="s">
        <v>1895</v>
      </c>
      <c r="C980" s="5">
        <v>59</v>
      </c>
      <c r="D980" s="5">
        <v>568264</v>
      </c>
      <c r="E980" s="5">
        <v>3694116990</v>
      </c>
      <c r="F980" s="5">
        <v>6390</v>
      </c>
      <c r="G980" s="5">
        <v>6240</v>
      </c>
      <c r="H980" s="5">
        <v>6410</v>
      </c>
      <c r="I980" s="5">
        <v>0.31</v>
      </c>
      <c r="J980" s="5">
        <v>6240</v>
      </c>
      <c r="K980" s="5">
        <v>6580</v>
      </c>
    </row>
    <row r="981" spans="1:11" x14ac:dyDescent="0.3">
      <c r="A981" s="9" t="s">
        <v>87</v>
      </c>
      <c r="B981" s="5" t="s">
        <v>86</v>
      </c>
      <c r="C981" s="5">
        <v>13</v>
      </c>
      <c r="D981" s="5">
        <v>21557</v>
      </c>
      <c r="E981" s="5">
        <v>345035207</v>
      </c>
      <c r="F981" s="5">
        <v>15243</v>
      </c>
      <c r="G981" s="5">
        <v>15962</v>
      </c>
      <c r="H981" s="5">
        <v>16006</v>
      </c>
      <c r="I981" s="5">
        <v>5.01</v>
      </c>
      <c r="J981" s="5">
        <v>15962</v>
      </c>
      <c r="K981" s="5">
        <v>16247</v>
      </c>
    </row>
    <row r="982" spans="1:11" x14ac:dyDescent="0.3">
      <c r="A982" s="9" t="s">
        <v>390</v>
      </c>
      <c r="B982" s="5" t="s">
        <v>389</v>
      </c>
      <c r="C982" s="5">
        <v>2056</v>
      </c>
      <c r="D982" s="5">
        <v>25174429</v>
      </c>
      <c r="E982" s="5">
        <v>443862308470</v>
      </c>
      <c r="F982" s="5">
        <v>17595</v>
      </c>
      <c r="G982" s="5">
        <v>17618</v>
      </c>
      <c r="H982" s="5">
        <v>17631</v>
      </c>
      <c r="I982" s="5">
        <v>0.2</v>
      </c>
      <c r="J982" s="5">
        <v>17617</v>
      </c>
      <c r="K982" s="5">
        <v>17634</v>
      </c>
    </row>
    <row r="983" spans="1:11" x14ac:dyDescent="0.3">
      <c r="A983" s="9" t="s">
        <v>1807</v>
      </c>
      <c r="B983" s="5" t="s">
        <v>389</v>
      </c>
      <c r="C983" s="5">
        <v>5</v>
      </c>
      <c r="D983" s="5">
        <v>10100000</v>
      </c>
      <c r="E983" s="5">
        <v>10100000</v>
      </c>
      <c r="F983" s="5">
        <v>17595</v>
      </c>
      <c r="G983" s="5">
        <v>1</v>
      </c>
      <c r="H983" s="5">
        <v>1</v>
      </c>
      <c r="I983" s="5">
        <v>-99.99</v>
      </c>
      <c r="J983" s="5">
        <v>1</v>
      </c>
      <c r="K983" s="5">
        <v>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2"/>
  <sheetViews>
    <sheetView rightToLeft="1" tabSelected="1" zoomScale="110" zoomScaleNormal="110" workbookViewId="0">
      <selection activeCell="I8" sqref="I8"/>
    </sheetView>
  </sheetViews>
  <sheetFormatPr defaultRowHeight="14.4" x14ac:dyDescent="0.3"/>
  <cols>
    <col min="1" max="1" width="3.88671875" customWidth="1"/>
    <col min="2" max="2" width="5.5546875" customWidth="1"/>
    <col min="3" max="3" width="20" customWidth="1"/>
    <col min="4" max="4" width="8.5546875" customWidth="1"/>
    <col min="5" max="5" width="15.33203125" customWidth="1"/>
    <col min="6" max="6" width="10.5546875" customWidth="1"/>
    <col min="7" max="7" width="11.21875" customWidth="1"/>
    <col min="8" max="8" width="15.109375" customWidth="1"/>
    <col min="9" max="9" width="15.44140625" bestFit="1" customWidth="1"/>
    <col min="10" max="10" width="14.33203125" customWidth="1"/>
    <col min="11" max="11" width="7.6640625" bestFit="1" customWidth="1"/>
    <col min="12" max="12" width="11.109375" bestFit="1" customWidth="1"/>
    <col min="13" max="13" width="11.5546875" customWidth="1"/>
    <col min="14" max="14" width="9.44140625" bestFit="1" customWidth="1"/>
    <col min="15" max="15" width="11.77734375" customWidth="1"/>
    <col min="16" max="16" width="5.21875" bestFit="1" customWidth="1"/>
    <col min="17" max="17" width="13.109375" bestFit="1" customWidth="1"/>
    <col min="18" max="18" width="8.88671875" customWidth="1"/>
    <col min="19" max="19" width="7" bestFit="1" customWidth="1"/>
    <col min="20" max="20" width="5.5546875" bestFit="1" customWidth="1"/>
  </cols>
  <sheetData>
    <row r="1" spans="1:20" ht="18" x14ac:dyDescent="0.35">
      <c r="A1" s="45" t="s">
        <v>0</v>
      </c>
      <c r="B1" s="46" t="s">
        <v>1</v>
      </c>
      <c r="C1" s="45" t="s">
        <v>2</v>
      </c>
      <c r="D1" s="45" t="s">
        <v>3</v>
      </c>
      <c r="E1" s="45" t="s">
        <v>848</v>
      </c>
      <c r="F1" s="45" t="s">
        <v>1435</v>
      </c>
      <c r="G1" s="45" t="s">
        <v>494</v>
      </c>
      <c r="H1" s="45" t="s">
        <v>4</v>
      </c>
      <c r="I1" s="45" t="s">
        <v>428</v>
      </c>
      <c r="J1" s="45" t="s">
        <v>816</v>
      </c>
      <c r="K1" s="47" t="s">
        <v>827</v>
      </c>
      <c r="L1" s="45" t="s">
        <v>5</v>
      </c>
      <c r="M1" s="45" t="s">
        <v>793</v>
      </c>
      <c r="N1" s="1" t="s">
        <v>6</v>
      </c>
      <c r="O1" s="1" t="s">
        <v>7</v>
      </c>
    </row>
    <row r="2" spans="1:20" x14ac:dyDescent="0.3">
      <c r="A2" s="2">
        <v>1</v>
      </c>
      <c r="B2" s="9" t="s">
        <v>1639</v>
      </c>
      <c r="C2" s="7" t="s">
        <v>1640</v>
      </c>
      <c r="D2" s="3">
        <v>12000</v>
      </c>
      <c r="E2" s="3">
        <f>D2</f>
        <v>12000</v>
      </c>
      <c r="F2" s="3">
        <v>15558</v>
      </c>
      <c r="G2" s="3">
        <f>VLOOKUP(ME!B2,دیده_بان_بازار[],8,FALSE)</f>
        <v>17930</v>
      </c>
      <c r="H2" s="4">
        <f>E2*G2</f>
        <v>215160000</v>
      </c>
      <c r="I2" s="3">
        <f>E2*F2</f>
        <v>186696000</v>
      </c>
      <c r="J2" s="14">
        <f>$H$2-$I$2</f>
        <v>28464000</v>
      </c>
      <c r="K2" s="38">
        <f>IFERROR(J2/I2,0)</f>
        <v>0.15246175600976988</v>
      </c>
      <c r="L2" s="15">
        <f>(E2/SUM($E$2:$E$5))*100</f>
        <v>10.526315789473683</v>
      </c>
      <c r="M2" s="18">
        <f>H2/$H$6</f>
        <v>0.10133836728234576</v>
      </c>
      <c r="N2" s="2" t="s">
        <v>8</v>
      </c>
      <c r="O2" s="2" t="s">
        <v>1243</v>
      </c>
    </row>
    <row r="3" spans="1:20" ht="18" x14ac:dyDescent="0.35">
      <c r="A3" s="2">
        <v>2</v>
      </c>
      <c r="B3" s="8" t="s">
        <v>12</v>
      </c>
      <c r="C3" s="7" t="s">
        <v>14</v>
      </c>
      <c r="D3" s="3">
        <v>100000</v>
      </c>
      <c r="E3" s="2">
        <f>D3</f>
        <v>100000</v>
      </c>
      <c r="F3" s="3">
        <v>8697</v>
      </c>
      <c r="G3" s="3">
        <f>VLOOKUP(ME!B3,دیده_بان_بازار[],8,FALSE)</f>
        <v>11060</v>
      </c>
      <c r="H3" s="4">
        <f>IFERROR(E3*G3,0)</f>
        <v>1106000000</v>
      </c>
      <c r="I3" s="3">
        <f t="shared" ref="I3:I4" si="0">F3*E3</f>
        <v>869700000</v>
      </c>
      <c r="J3" s="14">
        <f>$H$3-$I$3</f>
        <v>236300000</v>
      </c>
      <c r="K3" s="38">
        <f t="shared" ref="K3" si="1">J3/I3</f>
        <v>0.27170288605266185</v>
      </c>
      <c r="L3" s="15">
        <f>(E3/SUM($E$2:$E$5))*100</f>
        <v>87.719298245614027</v>
      </c>
      <c r="M3" s="18">
        <f>H3/$H$6</f>
        <v>0.52091575671255996</v>
      </c>
      <c r="N3" s="2" t="s">
        <v>8</v>
      </c>
      <c r="O3" s="2" t="s">
        <v>1243</v>
      </c>
      <c r="S3" s="43" t="s">
        <v>837</v>
      </c>
      <c r="T3" s="44"/>
    </row>
    <row r="4" spans="1:20" x14ac:dyDescent="0.3">
      <c r="A4" s="7">
        <v>3</v>
      </c>
      <c r="B4" s="9" t="s">
        <v>429</v>
      </c>
      <c r="C4" s="7" t="s">
        <v>912</v>
      </c>
      <c r="D4" s="36">
        <v>0</v>
      </c>
      <c r="E4" s="3">
        <f>D4</f>
        <v>0</v>
      </c>
      <c r="F4" s="3">
        <v>0</v>
      </c>
      <c r="G4" s="3">
        <f>VLOOKUP(ME!B4,دیده_بان_بازار[],8,FALSE)</f>
        <v>74944</v>
      </c>
      <c r="H4" s="4">
        <f>IFERROR(E4*G4,0)</f>
        <v>0</v>
      </c>
      <c r="I4" s="3">
        <f t="shared" si="0"/>
        <v>0</v>
      </c>
      <c r="J4" s="14">
        <f>$H$4-$I$4</f>
        <v>0</v>
      </c>
      <c r="K4" s="38">
        <f>IFERROR(J4/I4,0)</f>
        <v>0</v>
      </c>
      <c r="L4" s="15">
        <f>(E4/SUM($E$2:$E$5))*100</f>
        <v>0</v>
      </c>
      <c r="M4" s="18">
        <f>H4/$H$6</f>
        <v>0</v>
      </c>
      <c r="N4" s="2" t="s">
        <v>8</v>
      </c>
      <c r="O4" s="2" t="s">
        <v>1243</v>
      </c>
      <c r="S4" s="37">
        <f>H2/$H$6</f>
        <v>0.10133836728234576</v>
      </c>
      <c r="T4" s="9" t="s">
        <v>1639</v>
      </c>
    </row>
    <row r="5" spans="1:20" x14ac:dyDescent="0.3">
      <c r="A5" s="7">
        <v>4</v>
      </c>
      <c r="B5" s="8" t="s">
        <v>342</v>
      </c>
      <c r="C5" s="32" t="s">
        <v>863</v>
      </c>
      <c r="D5" s="36">
        <v>2000</v>
      </c>
      <c r="E5" s="3">
        <f>D5</f>
        <v>2000</v>
      </c>
      <c r="F5" s="3">
        <v>351737</v>
      </c>
      <c r="G5" s="3">
        <f>VLOOKUP(ME!B5,دیده_بان_بازار[],8,FALSE)</f>
        <v>401012</v>
      </c>
      <c r="H5" s="4">
        <f>IFERROR(E5*G5,0)</f>
        <v>802024000</v>
      </c>
      <c r="I5" s="3">
        <f>F5*E5</f>
        <v>703474000</v>
      </c>
      <c r="J5" s="14">
        <f>$H$5-$I$5</f>
        <v>98550000</v>
      </c>
      <c r="K5" s="38">
        <f>IFERROR(J5/I5,0)</f>
        <v>0.14009046531925842</v>
      </c>
      <c r="L5" s="15">
        <f>(E5/SUM($E$2:$E$5))*100</f>
        <v>1.7543859649122806</v>
      </c>
      <c r="M5" s="18">
        <f t="shared" ref="M5" si="2">H5/$H$6</f>
        <v>0.37774587600509424</v>
      </c>
      <c r="N5" s="2" t="s">
        <v>8</v>
      </c>
      <c r="O5" s="2" t="s">
        <v>1243</v>
      </c>
      <c r="S5" s="37">
        <f>H3/$H$6</f>
        <v>0.52091575671255996</v>
      </c>
      <c r="T5" s="8" t="s">
        <v>12</v>
      </c>
    </row>
    <row r="6" spans="1:20" x14ac:dyDescent="0.3">
      <c r="A6" s="26"/>
      <c r="B6" s="27"/>
      <c r="C6" s="26"/>
      <c r="D6" s="28"/>
      <c r="E6" s="29"/>
      <c r="F6" s="29"/>
      <c r="G6" s="29"/>
      <c r="H6" s="48">
        <f>SUM(H2:H5)</f>
        <v>2123184000</v>
      </c>
      <c r="I6" s="49">
        <f>SUM(I2:I5)</f>
        <v>1759870000</v>
      </c>
      <c r="J6" s="49">
        <f>SUM(J2:J5)</f>
        <v>363314000</v>
      </c>
      <c r="K6" s="30"/>
      <c r="L6" s="31"/>
      <c r="M6" s="31"/>
      <c r="N6" s="31"/>
      <c r="O6" s="31"/>
      <c r="S6" s="37">
        <f>H4/$H$6</f>
        <v>0</v>
      </c>
      <c r="T6" s="9" t="s">
        <v>429</v>
      </c>
    </row>
    <row r="7" spans="1:20" x14ac:dyDescent="0.3">
      <c r="A7" s="22"/>
      <c r="B7" s="24"/>
      <c r="C7" s="22"/>
      <c r="D7" s="23"/>
      <c r="E7" s="23"/>
      <c r="F7" s="23"/>
      <c r="G7" s="23"/>
      <c r="H7" s="23"/>
      <c r="I7" s="23"/>
      <c r="J7" s="23"/>
      <c r="K7" s="23"/>
      <c r="L7" s="23"/>
      <c r="M7" s="23"/>
      <c r="N7" s="22"/>
      <c r="O7" s="22"/>
      <c r="S7" s="37">
        <f>H5/$H$6</f>
        <v>0.37774587600509424</v>
      </c>
      <c r="T7" s="8" t="s">
        <v>342</v>
      </c>
    </row>
    <row r="8" spans="1:20" x14ac:dyDescent="0.3">
      <c r="D8" s="21"/>
      <c r="E8" s="17"/>
      <c r="F8" s="17"/>
      <c r="K8" s="33"/>
      <c r="L8" t="s">
        <v>11</v>
      </c>
      <c r="N8" t="s">
        <v>11</v>
      </c>
      <c r="O8" t="s">
        <v>11</v>
      </c>
    </row>
    <row r="9" spans="1:20" ht="18" x14ac:dyDescent="0.35">
      <c r="D9" s="20"/>
      <c r="E9" s="19"/>
      <c r="F9" s="19"/>
      <c r="K9" s="10"/>
      <c r="O9" s="34"/>
    </row>
    <row r="10" spans="1:20" ht="18" x14ac:dyDescent="0.35">
      <c r="C10" s="35"/>
      <c r="K10" s="10"/>
      <c r="O10" s="34"/>
    </row>
    <row r="11" spans="1:20" x14ac:dyDescent="0.3">
      <c r="C11" s="22"/>
      <c r="D11" s="21"/>
      <c r="E11" s="17"/>
      <c r="F11" s="17"/>
      <c r="O11" s="34"/>
    </row>
    <row r="12" spans="1:20" x14ac:dyDescent="0.3">
      <c r="D12" s="20"/>
      <c r="E12" s="19"/>
      <c r="F12" s="19"/>
    </row>
    <row r="13" spans="1:20" x14ac:dyDescent="0.3">
      <c r="H13" s="39"/>
      <c r="I13" s="40"/>
    </row>
    <row r="14" spans="1:20" x14ac:dyDescent="0.3">
      <c r="E14" s="11"/>
      <c r="F14" s="11"/>
      <c r="H14" s="39"/>
      <c r="I14" s="41"/>
      <c r="O14" s="13"/>
    </row>
    <row r="16" spans="1:20" x14ac:dyDescent="0.3">
      <c r="E16" s="16"/>
      <c r="F16" s="16"/>
      <c r="H16" s="11"/>
    </row>
    <row r="17" spans="5:15" x14ac:dyDescent="0.3">
      <c r="H17" s="16"/>
    </row>
    <row r="18" spans="5:15" x14ac:dyDescent="0.3">
      <c r="E18" s="11"/>
      <c r="F18" s="11"/>
      <c r="O18" s="25"/>
    </row>
    <row r="19" spans="5:15" x14ac:dyDescent="0.3">
      <c r="E19" s="11"/>
      <c r="F19" s="11"/>
      <c r="O19" s="25"/>
    </row>
    <row r="20" spans="5:15" x14ac:dyDescent="0.3">
      <c r="E20" s="11"/>
      <c r="F20" s="11"/>
      <c r="H20" s="12"/>
    </row>
    <row r="21" spans="5:15" x14ac:dyDescent="0.3">
      <c r="O21" s="11"/>
    </row>
    <row r="22" spans="5:15" x14ac:dyDescent="0.3">
      <c r="H22" s="11"/>
    </row>
  </sheetData>
  <mergeCells count="1">
    <mergeCell ref="S3:T3"/>
  </mergeCells>
  <conditionalFormatting sqref="M2:M5"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2:J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45953-0FC2-4A28-A0CE-0A119A768BF5}">
  <sheetPr codeName="Sheet5"/>
  <dimension ref="A1"/>
  <sheetViews>
    <sheetView rightToLeft="1" workbookViewId="0">
      <selection activeCell="H13" sqref="H1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2EC75-E5A0-4B36-ABD1-A95861CA23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دیده بان بازار</vt:lpstr>
      <vt:lpstr>ME</vt:lpstr>
      <vt:lpstr>Dash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Hamid Heydari</cp:lastModifiedBy>
  <dcterms:created xsi:type="dcterms:W3CDTF">2022-05-15T12:48:46Z</dcterms:created>
  <dcterms:modified xsi:type="dcterms:W3CDTF">2023-09-01T00:28:20Z</dcterms:modified>
</cp:coreProperties>
</file>